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ianomich/Library/CloudStorage/GoogleDrive-contact@angelicatours.com/Other computers/My iMac/TTA/CLIENTES/"/>
    </mc:Choice>
  </mc:AlternateContent>
  <xr:revisionPtr revIDLastSave="0" documentId="13_ncr:1_{FB4F3E30-C6BB-2546-B96F-EA4A735B6C10}" xr6:coauthVersionLast="47" xr6:coauthVersionMax="47" xr10:uidLastSave="{00000000-0000-0000-0000-000000000000}"/>
  <bookViews>
    <workbookView xWindow="57080" yWindow="-11080" windowWidth="36280" windowHeight="40360" firstSheet="2" activeTab="10" xr2:uid="{23388DFA-CB42-0845-9DE9-3BC65C44C495}"/>
  </bookViews>
  <sheets>
    <sheet name="ECONOMICO-OutsideSMA2025" sheetId="1" r:id="rId1"/>
    <sheet name="ECONOMICO-InsideSMA2025" sheetId="2" r:id="rId2"/>
    <sheet name="PREMIUM-OutsideSMA2025" sheetId="4" r:id="rId3"/>
    <sheet name="PREMIUM-InsideSMA2025" sheetId="5" r:id="rId4"/>
    <sheet name="PREMIUM-Tours2025" sheetId="3" r:id="rId5"/>
    <sheet name="GREEN-OutsideSMA2025" sheetId="7" r:id="rId6"/>
    <sheet name="GREEN-InsideSMA2025" sheetId="8" r:id="rId7"/>
    <sheet name="GREEN-Tours2025" sheetId="9" r:id="rId8"/>
    <sheet name="FIRST-OutsideSMA2025" sheetId="11" r:id="rId9"/>
    <sheet name="FIRST-InsideSMA2025" sheetId="12" r:id="rId10"/>
    <sheet name="FIRST-Tours2025" sheetId="13" r:id="rId11"/>
  </sheets>
  <definedNames>
    <definedName name="_xlnm.Print_Area" localSheetId="1">'ECONOMICO-InsideSMA2025'!$B$2:$D$53</definedName>
    <definedName name="_xlnm.Print_Area" localSheetId="0">'ECONOMICO-OutsideSMA2025'!$B$2:$G$70</definedName>
    <definedName name="_xlnm.Print_Area" localSheetId="9">'FIRST-InsideSMA2025'!$B$2:$D$53</definedName>
    <definedName name="_xlnm.Print_Area" localSheetId="8">'FIRST-OutsideSMA2025'!$B$2:$G$70</definedName>
    <definedName name="_xlnm.Print_Area" localSheetId="10">'FIRST-Tours2025'!$B$1:$D$14</definedName>
    <definedName name="_xlnm.Print_Area" localSheetId="6">'GREEN-InsideSMA2025'!$B$2:$D$53</definedName>
    <definedName name="_xlnm.Print_Area" localSheetId="5">'GREEN-OutsideSMA2025'!$B$2:$G$70</definedName>
    <definedName name="_xlnm.Print_Area" localSheetId="7">'GREEN-Tours2025'!$B$1:$D$14</definedName>
    <definedName name="_xlnm.Print_Area" localSheetId="3">'PREMIUM-InsideSMA2025'!$B$2:$E$53</definedName>
    <definedName name="_xlnm.Print_Area" localSheetId="2">'PREMIUM-OutsideSMA2025'!$B$2:$G$70</definedName>
    <definedName name="_xlnm.Print_Area" localSheetId="4">'PREMIUM-Tours2025'!$B$2:$E$17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11" l="1"/>
  <c r="J59" i="11"/>
  <c r="J61" i="11" s="1"/>
  <c r="J53" i="11"/>
  <c r="J51" i="11"/>
  <c r="J57" i="11" s="1"/>
  <c r="J47" i="11"/>
  <c r="J45" i="11"/>
  <c r="J65" i="11" s="1"/>
  <c r="J41" i="11"/>
  <c r="J55" i="11" s="1"/>
  <c r="J39" i="11"/>
  <c r="J37" i="11"/>
  <c r="J32" i="11"/>
  <c r="J26" i="11"/>
  <c r="J30" i="11" s="1"/>
  <c r="J22" i="11"/>
  <c r="J20" i="11"/>
  <c r="J28" i="11" s="1"/>
  <c r="J18" i="11"/>
  <c r="J16" i="11"/>
  <c r="D63" i="11"/>
  <c r="D59" i="11"/>
  <c r="D61" i="11" s="1"/>
  <c r="D53" i="11"/>
  <c r="D51" i="11"/>
  <c r="D57" i="11" s="1"/>
  <c r="D47" i="11"/>
  <c r="D45" i="11"/>
  <c r="D65" i="11" s="1"/>
  <c r="D41" i="11"/>
  <c r="D49" i="11" s="1"/>
  <c r="D39" i="11"/>
  <c r="D37" i="11"/>
  <c r="D32" i="11"/>
  <c r="D26" i="11"/>
  <c r="D30" i="11" s="1"/>
  <c r="D22" i="11"/>
  <c r="D20" i="11"/>
  <c r="D28" i="11" s="1"/>
  <c r="D18" i="11"/>
  <c r="D16" i="11"/>
  <c r="L47" i="1"/>
  <c r="E47" i="1"/>
  <c r="I11" i="2"/>
  <c r="D11" i="2" s="1"/>
  <c r="I9" i="2"/>
  <c r="I8" i="2"/>
  <c r="D8" i="2" s="1"/>
  <c r="I7" i="2"/>
  <c r="D7" i="2" s="1"/>
  <c r="I20" i="2"/>
  <c r="D20" i="2" s="1"/>
  <c r="D49" i="2"/>
  <c r="D48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19" i="2"/>
  <c r="D18" i="2"/>
  <c r="D17" i="2"/>
  <c r="D16" i="2"/>
  <c r="D15" i="2"/>
  <c r="D14" i="2"/>
  <c r="D13" i="2"/>
  <c r="D12" i="2"/>
  <c r="D10" i="2"/>
  <c r="D9" i="2"/>
  <c r="D6" i="2"/>
  <c r="D5" i="2"/>
  <c r="D4" i="2"/>
  <c r="C49" i="2"/>
  <c r="C48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F72" i="1"/>
  <c r="E65" i="1"/>
  <c r="E45" i="1"/>
  <c r="E43" i="1"/>
  <c r="E39" i="1"/>
  <c r="E32" i="1"/>
  <c r="E30" i="1"/>
  <c r="E26" i="1"/>
  <c r="E24" i="1"/>
  <c r="E20" i="1"/>
  <c r="E18" i="1"/>
  <c r="E16" i="1"/>
  <c r="L65" i="1"/>
  <c r="L63" i="1"/>
  <c r="E63" i="1" s="1"/>
  <c r="L53" i="1"/>
  <c r="E53" i="1" s="1"/>
  <c r="L41" i="1"/>
  <c r="L55" i="1" s="1"/>
  <c r="E55" i="1" s="1"/>
  <c r="L39" i="1"/>
  <c r="L37" i="1"/>
  <c r="E37" i="1" s="1"/>
  <c r="L30" i="1"/>
  <c r="L28" i="1"/>
  <c r="E28" i="1" s="1"/>
  <c r="L22" i="1"/>
  <c r="L51" i="1" s="1"/>
  <c r="L18" i="1"/>
  <c r="L16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2" i="1"/>
  <c r="D30" i="1"/>
  <c r="D28" i="1"/>
  <c r="D26" i="1"/>
  <c r="D24" i="1"/>
  <c r="D22" i="1"/>
  <c r="D20" i="1"/>
  <c r="D18" i="1"/>
  <c r="D16" i="1"/>
  <c r="D4" i="13"/>
  <c r="E45" i="11"/>
  <c r="E43" i="11"/>
  <c r="K65" i="11"/>
  <c r="E65" i="11" s="1"/>
  <c r="K63" i="11"/>
  <c r="E63" i="11" s="1"/>
  <c r="K53" i="11"/>
  <c r="E53" i="11" s="1"/>
  <c r="K47" i="11"/>
  <c r="E47" i="11" s="1"/>
  <c r="K41" i="11"/>
  <c r="K55" i="11" s="1"/>
  <c r="E55" i="11" s="1"/>
  <c r="K39" i="11"/>
  <c r="E39" i="11" s="1"/>
  <c r="E32" i="11"/>
  <c r="E26" i="11"/>
  <c r="E24" i="11"/>
  <c r="E20" i="11"/>
  <c r="K30" i="11"/>
  <c r="E30" i="11" s="1"/>
  <c r="K28" i="11"/>
  <c r="K59" i="11" s="1"/>
  <c r="K61" i="11" s="1"/>
  <c r="E61" i="11" s="1"/>
  <c r="K22" i="11"/>
  <c r="E22" i="11" s="1"/>
  <c r="K18" i="11"/>
  <c r="E18" i="11" s="1"/>
  <c r="K16" i="11"/>
  <c r="K37" i="11" s="1"/>
  <c r="E37" i="11" s="1"/>
  <c r="M22" i="4"/>
  <c r="M51" i="4"/>
  <c r="M57" i="4"/>
  <c r="M53" i="4"/>
  <c r="M16" i="4"/>
  <c r="F32" i="4"/>
  <c r="F22" i="4"/>
  <c r="K22" i="4"/>
  <c r="M30" i="4"/>
  <c r="K30" i="4"/>
  <c r="L30" i="4"/>
  <c r="L22" i="4"/>
  <c r="E22" i="4"/>
  <c r="L16" i="4"/>
  <c r="E16" i="4" s="1"/>
  <c r="J49" i="11" l="1"/>
  <c r="J43" i="11"/>
  <c r="D43" i="11"/>
  <c r="D55" i="11"/>
  <c r="E28" i="11"/>
  <c r="K51" i="11"/>
  <c r="K57" i="11" s="1"/>
  <c r="E57" i="11" s="1"/>
  <c r="L57" i="1"/>
  <c r="E57" i="1" s="1"/>
  <c r="E51" i="1"/>
  <c r="E16" i="11"/>
  <c r="E41" i="11"/>
  <c r="L59" i="1"/>
  <c r="E41" i="1"/>
  <c r="E51" i="11"/>
  <c r="L49" i="1"/>
  <c r="E49" i="1" s="1"/>
  <c r="E22" i="1"/>
  <c r="E59" i="11"/>
  <c r="K49" i="11"/>
  <c r="E49" i="11" s="1"/>
  <c r="M37" i="4"/>
  <c r="F37" i="4" s="1"/>
  <c r="F61" i="4"/>
  <c r="D61" i="4"/>
  <c r="F57" i="4"/>
  <c r="F53" i="4"/>
  <c r="F47" i="4"/>
  <c r="E47" i="4"/>
  <c r="D47" i="4"/>
  <c r="F43" i="4"/>
  <c r="E43" i="4"/>
  <c r="D43" i="4"/>
  <c r="F39" i="4"/>
  <c r="E32" i="4"/>
  <c r="D32" i="4"/>
  <c r="F30" i="4"/>
  <c r="E30" i="4"/>
  <c r="D30" i="4"/>
  <c r="F28" i="4"/>
  <c r="F26" i="4"/>
  <c r="F24" i="4"/>
  <c r="E24" i="4"/>
  <c r="D24" i="4"/>
  <c r="D22" i="4"/>
  <c r="F20" i="4"/>
  <c r="E20" i="4"/>
  <c r="D20" i="4"/>
  <c r="F18" i="4"/>
  <c r="E18" i="4"/>
  <c r="D18" i="4"/>
  <c r="F16" i="4"/>
  <c r="D16" i="4"/>
  <c r="L61" i="1" l="1"/>
  <c r="E61" i="1" s="1"/>
  <c r="E59" i="1"/>
  <c r="D49" i="5"/>
  <c r="D48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M63" i="4"/>
  <c r="F63" i="4" s="1"/>
  <c r="L63" i="4"/>
  <c r="E63" i="4" s="1"/>
  <c r="K63" i="4"/>
  <c r="D63" i="4" s="1"/>
  <c r="M59" i="4"/>
  <c r="F59" i="4" s="1"/>
  <c r="L53" i="4"/>
  <c r="E53" i="4" s="1"/>
  <c r="K53" i="4"/>
  <c r="D53" i="4" s="1"/>
  <c r="F51" i="4"/>
  <c r="L51" i="4"/>
  <c r="L57" i="4" s="1"/>
  <c r="E57" i="4" s="1"/>
  <c r="K51" i="4"/>
  <c r="K57" i="4" s="1"/>
  <c r="D57" i="4" s="1"/>
  <c r="L49" i="4"/>
  <c r="E49" i="4" s="1"/>
  <c r="M45" i="4"/>
  <c r="F45" i="4" s="1"/>
  <c r="L45" i="4"/>
  <c r="E45" i="4" s="1"/>
  <c r="K45" i="4"/>
  <c r="D45" i="4" s="1"/>
  <c r="M41" i="4"/>
  <c r="L41" i="4"/>
  <c r="K41" i="4"/>
  <c r="L39" i="4"/>
  <c r="E39" i="4" s="1"/>
  <c r="K39" i="4"/>
  <c r="D39" i="4" s="1"/>
  <c r="L37" i="4"/>
  <c r="E37" i="4" s="1"/>
  <c r="K37" i="4"/>
  <c r="D37" i="4" s="1"/>
  <c r="L28" i="4"/>
  <c r="E28" i="4" s="1"/>
  <c r="K28" i="4"/>
  <c r="L26" i="4"/>
  <c r="E26" i="4" s="1"/>
  <c r="K26" i="4"/>
  <c r="D26" i="4" s="1"/>
  <c r="K59" i="4" l="1"/>
  <c r="D59" i="4" s="1"/>
  <c r="D28" i="4"/>
  <c r="M49" i="4"/>
  <c r="F49" i="4" s="1"/>
  <c r="F41" i="4"/>
  <c r="M55" i="4"/>
  <c r="F55" i="4" s="1"/>
  <c r="K49" i="4"/>
  <c r="D49" i="4" s="1"/>
  <c r="D41" i="4"/>
  <c r="L55" i="4"/>
  <c r="E55" i="4" s="1"/>
  <c r="E41" i="4"/>
  <c r="L59" i="4"/>
  <c r="M65" i="4"/>
  <c r="F65" i="4" s="1"/>
  <c r="K65" i="4"/>
  <c r="D65" i="4" s="1"/>
  <c r="D51" i="4"/>
  <c r="L65" i="4"/>
  <c r="E65" i="4" s="1"/>
  <c r="E51" i="4"/>
  <c r="K55" i="4"/>
  <c r="D55" i="4" s="1"/>
  <c r="L61" i="4" l="1"/>
  <c r="E61" i="4" s="1"/>
  <c r="E59" i="4"/>
  <c r="D4" i="9"/>
  <c r="C4" i="9"/>
  <c r="I45" i="8"/>
  <c r="D45" i="8" s="1"/>
  <c r="H45" i="8"/>
  <c r="C45" i="8" s="1"/>
  <c r="I41" i="8"/>
  <c r="D41" i="8" s="1"/>
  <c r="H41" i="8"/>
  <c r="C41" i="8" s="1"/>
  <c r="I32" i="8"/>
  <c r="D32" i="8" s="1"/>
  <c r="I28" i="8"/>
  <c r="D28" i="8" s="1"/>
  <c r="H28" i="8"/>
  <c r="C28" i="8" s="1"/>
  <c r="I22" i="8"/>
  <c r="D22" i="8" s="1"/>
  <c r="H22" i="8"/>
  <c r="C22" i="8" s="1"/>
  <c r="I18" i="8"/>
  <c r="D18" i="8" s="1"/>
  <c r="H18" i="8"/>
  <c r="C18" i="8" s="1"/>
  <c r="I14" i="8"/>
  <c r="D14" i="8" s="1"/>
  <c r="H14" i="8"/>
  <c r="H32" i="8" s="1"/>
  <c r="C32" i="8" s="1"/>
  <c r="I13" i="8"/>
  <c r="D13" i="8" s="1"/>
  <c r="H13" i="8"/>
  <c r="C13" i="8" s="1"/>
  <c r="I12" i="8"/>
  <c r="D12" i="8" s="1"/>
  <c r="H12" i="8"/>
  <c r="C12" i="8" s="1"/>
  <c r="D21" i="8"/>
  <c r="C21" i="8"/>
  <c r="D9" i="8"/>
  <c r="D8" i="8"/>
  <c r="C11" i="8"/>
  <c r="C10" i="8"/>
  <c r="D49" i="8"/>
  <c r="D48" i="8"/>
  <c r="D46" i="8"/>
  <c r="D44" i="8"/>
  <c r="D43" i="8"/>
  <c r="D42" i="8"/>
  <c r="D40" i="8"/>
  <c r="D39" i="8"/>
  <c r="D38" i="8"/>
  <c r="D37" i="8"/>
  <c r="D36" i="8"/>
  <c r="D35" i="8"/>
  <c r="D34" i="8"/>
  <c r="D33" i="8"/>
  <c r="D31" i="8"/>
  <c r="D30" i="8"/>
  <c r="D29" i="8"/>
  <c r="D27" i="8"/>
  <c r="D26" i="8"/>
  <c r="D25" i="8"/>
  <c r="D24" i="8"/>
  <c r="D23" i="8"/>
  <c r="D20" i="8"/>
  <c r="D19" i="8"/>
  <c r="D17" i="8"/>
  <c r="D16" i="8"/>
  <c r="D15" i="8"/>
  <c r="D11" i="8"/>
  <c r="D10" i="8"/>
  <c r="D7" i="8"/>
  <c r="D6" i="8"/>
  <c r="D5" i="8"/>
  <c r="D4" i="8"/>
  <c r="C49" i="8"/>
  <c r="C48" i="8"/>
  <c r="C46" i="8"/>
  <c r="C44" i="8"/>
  <c r="C43" i="8"/>
  <c r="C42" i="8"/>
  <c r="C40" i="8"/>
  <c r="C39" i="8"/>
  <c r="C38" i="8"/>
  <c r="C37" i="8"/>
  <c r="C36" i="8"/>
  <c r="C35" i="8"/>
  <c r="C34" i="8"/>
  <c r="C33" i="8"/>
  <c r="C31" i="8"/>
  <c r="C30" i="8"/>
  <c r="C29" i="8"/>
  <c r="C27" i="8"/>
  <c r="C26" i="8"/>
  <c r="C25" i="8"/>
  <c r="C24" i="8"/>
  <c r="C23" i="8"/>
  <c r="C20" i="8"/>
  <c r="C19" i="8"/>
  <c r="C17" i="8"/>
  <c r="C16" i="8"/>
  <c r="C15" i="8"/>
  <c r="C9" i="8"/>
  <c r="C8" i="8"/>
  <c r="C7" i="8"/>
  <c r="C6" i="8"/>
  <c r="C5" i="8"/>
  <c r="C4" i="8"/>
  <c r="C14" i="8" l="1"/>
  <c r="E47" i="7"/>
  <c r="D45" i="7"/>
  <c r="D65" i="7" s="1"/>
  <c r="E43" i="7"/>
  <c r="E39" i="7"/>
  <c r="D39" i="7"/>
  <c r="E32" i="7"/>
  <c r="D32" i="7"/>
  <c r="E22" i="7"/>
  <c r="E51" i="7" s="1"/>
  <c r="E57" i="7" s="1"/>
  <c r="D22" i="7"/>
  <c r="D51" i="7" s="1"/>
  <c r="D57" i="7" s="1"/>
  <c r="E26" i="7"/>
  <c r="E30" i="7" s="1"/>
  <c r="E63" i="7" s="1"/>
  <c r="D26" i="7"/>
  <c r="D30" i="7" s="1"/>
  <c r="D63" i="7" s="1"/>
  <c r="E18" i="7"/>
  <c r="D20" i="7"/>
  <c r="D28" i="7" s="1"/>
  <c r="D59" i="7" s="1"/>
  <c r="D61" i="7" s="1"/>
  <c r="E20" i="7"/>
  <c r="E41" i="7"/>
  <c r="E55" i="7" s="1"/>
  <c r="D41" i="7"/>
  <c r="D55" i="7" s="1"/>
  <c r="D18" i="7"/>
  <c r="E16" i="7"/>
  <c r="E37" i="7" s="1"/>
  <c r="D16" i="7"/>
  <c r="D37" i="7" s="1"/>
  <c r="D43" i="7" l="1"/>
  <c r="D53" i="7"/>
  <c r="E45" i="7"/>
  <c r="E65" i="7" s="1"/>
  <c r="D47" i="7"/>
  <c r="E49" i="7"/>
  <c r="E28" i="7"/>
  <c r="E59" i="7" s="1"/>
  <c r="E61" i="7" s="1"/>
  <c r="E53" i="7"/>
  <c r="D49" i="7"/>
  <c r="E13" i="3" l="1"/>
  <c r="D13" i="3"/>
  <c r="C13" i="3"/>
  <c r="E4" i="3"/>
  <c r="D4" i="3"/>
  <c r="C4" i="3"/>
</calcChain>
</file>

<file path=xl/sharedStrings.xml><?xml version="1.0" encoding="utf-8"?>
<sst xmlns="http://schemas.openxmlformats.org/spreadsheetml/2006/main" count="921" uniqueCount="144">
  <si>
    <t>TRANSPORTACIONES Y TOURS DE ALLENDE</t>
  </si>
  <si>
    <t>VICENTE SUAREZ 5, INDEPENDENCIA</t>
  </si>
  <si>
    <t>SAN MIGUEL DE ALLENDE, GTO 37732</t>
  </si>
  <si>
    <t>billing@amexingexperience.com</t>
  </si>
  <si>
    <t>+52 (415) 167 39 90</t>
  </si>
  <si>
    <t>TTA020628K56</t>
  </si>
  <si>
    <t>INFLACION</t>
  </si>
  <si>
    <t>ECONÓMICO</t>
  </si>
  <si>
    <t>AEROPUERTOS</t>
  </si>
  <si>
    <t>SERVICIO</t>
  </si>
  <si>
    <t>SEDAN</t>
  </si>
  <si>
    <t>VAN</t>
  </si>
  <si>
    <t>NOTAS</t>
  </si>
  <si>
    <t>(AGU) Aeropuerto 
Internacional de Aguascalientes</t>
  </si>
  <si>
    <t>San Miguel de Allende</t>
  </si>
  <si>
    <t>LAS TARIFAS INCLUYEN
PAGO DE DERECHO DE PISO</t>
  </si>
  <si>
    <t>(AIFA) Aeropuerto 
Internacional Felipe Angeles</t>
  </si>
  <si>
    <t>LAS TARIFAS INCLUYEN 
PAGO DE DERECHO DE PISO</t>
  </si>
  <si>
    <t>(BJX) Aeropuerto 
Internacional de Leon</t>
  </si>
  <si>
    <t>(GDL) Aeropuerto 
Internacional de Guadalajara</t>
  </si>
  <si>
    <t>(MEX) Aeropuerto 
Internacional Benito Juarez</t>
  </si>
  <si>
    <t>(MLM) Aeropuerto 
Internacional de Morelia</t>
  </si>
  <si>
    <t>(QRO) Aeropuerto 
Internacional de Queretaro</t>
  </si>
  <si>
    <t>(SLP) Aeropuerto 
Internacional de San Luis Potosi</t>
  </si>
  <si>
    <t>(TLC) Aeropuerto 
Internacional de Toluca</t>
  </si>
  <si>
    <t>CIUDADES</t>
  </si>
  <si>
    <t>Aguascalientes</t>
  </si>
  <si>
    <t>CUALQUIER DESTINO EN 
LA CIUDAD DE AGUASCALIENTES</t>
  </si>
  <si>
    <t>León</t>
  </si>
  <si>
    <t>CUALQUIER DESTINO 
EN LA CIUDAD DE LEÓN</t>
  </si>
  <si>
    <t>Ciudad de México 1
(Norte &amp; Zona Centro)</t>
  </si>
  <si>
    <t>(ZÓCALO, POLANCO, LA CONDESA, REFORMA, ZONA ROSA, LA ALAMEDA CENTRAL, CHAPULTEPEC)</t>
  </si>
  <si>
    <t>Ciudad de México 2
(Sur &amp; Zona de Santa Fé)</t>
  </si>
  <si>
    <t>CUALQUIER DESTINO AL SUR 
DE MÉXICO Y LA ZONA DE SANTA FÉ</t>
  </si>
  <si>
    <t>Cuernavaca</t>
  </si>
  <si>
    <t>CUALQUIER DESTINO EN 
LA CIUDAD DE CUERNAVACA</t>
  </si>
  <si>
    <t>Dolores Hidalgo</t>
  </si>
  <si>
    <t>CUALQUIER DESTINO EN LA 
CIUDAD DE DOLORES HIDALGO</t>
  </si>
  <si>
    <t>Estado de Mexico</t>
  </si>
  <si>
    <t>CUALQUIER DESTINO 
EN EL ESTADO DE MÉXICO</t>
  </si>
  <si>
    <t>Guadalajara</t>
  </si>
  <si>
    <t>CUALQUIER DESTINO EN 
LA CIUDAD DE GUADALAJARA</t>
  </si>
  <si>
    <t>Guanajuato</t>
  </si>
  <si>
    <t>CUALQUIER DESTINO EN 
LA CIUDAD DE GUANAJUATO</t>
  </si>
  <si>
    <t>Morelia</t>
  </si>
  <si>
    <t>CUALQUIER DESTINO 
EN LA CIUDAD DE MORELIA</t>
  </si>
  <si>
    <t>Puebla</t>
  </si>
  <si>
    <t>CUALQUIER DESTINO 
EN LA CIUDAD DE PUEBLA</t>
  </si>
  <si>
    <t>Querétaro</t>
  </si>
  <si>
    <t>CUALQUIER DESTINO EN 
LA CIUDAD DE QUERÉTARO</t>
  </si>
  <si>
    <t>San Juan del Rio</t>
  </si>
  <si>
    <t>CUALQUIER DESTINO EN LA 
CIUDAD DE SAN JUAN DEL RÍO</t>
  </si>
  <si>
    <t>San Luis Potosí</t>
  </si>
  <si>
    <t>CUALQUIER DESTINO EN LA 
CIUDAD DE SAN LUIS POTOSÍ</t>
  </si>
  <si>
    <t>Zacatecas</t>
  </si>
  <si>
    <t>CUALQUIER DESTINO EN 
LA CIUDAD DE ZACATECAS</t>
  </si>
  <si>
    <t>TIEMPO DE ESPERA</t>
  </si>
  <si>
    <t>DENTRO DE SAN MIGUEL DE ALLENDE</t>
  </si>
  <si>
    <t>DESTINO</t>
  </si>
  <si>
    <t>SUBURBAN</t>
  </si>
  <si>
    <t>SPRINTER</t>
  </si>
  <si>
    <t>Capilla de Jimmy Ray</t>
  </si>
  <si>
    <t>Casa de Aves</t>
  </si>
  <si>
    <t>Central de Autobuses</t>
  </si>
  <si>
    <t>Club de Golf Malanquín</t>
  </si>
  <si>
    <t>Club de Golf Ventanas</t>
  </si>
  <si>
    <t>Escondido Place</t>
  </si>
  <si>
    <t>Fábrica La Aurora</t>
  </si>
  <si>
    <t>Hacienda Los Picachos</t>
  </si>
  <si>
    <t>Hacienda Los Arcángeles</t>
  </si>
  <si>
    <t>Hacienda San José La Vista</t>
  </si>
  <si>
    <t>Helipuerto Los Gerez</t>
  </si>
  <si>
    <t>La Casona</t>
  </si>
  <si>
    <t>La Candelaria</t>
  </si>
  <si>
    <t>La Gruta</t>
  </si>
  <si>
    <t>La Noria</t>
  </si>
  <si>
    <t>La Zandunga</t>
  </si>
  <si>
    <t>Los Senderos</t>
  </si>
  <si>
    <t>Mayan Baths</t>
  </si>
  <si>
    <t>Otomí</t>
  </si>
  <si>
    <t>Rancho La Trinidad</t>
  </si>
  <si>
    <t>Rancho Labradores</t>
  </si>
  <si>
    <t>Rancho Las Sabinas</t>
  </si>
  <si>
    <t>Rancho Luna Escondida</t>
  </si>
  <si>
    <t>Rancho San Luis Gonzaga</t>
  </si>
  <si>
    <t>Rancho Vía Orgánica</t>
  </si>
  <si>
    <t>Santuario de Atotonilco</t>
  </si>
  <si>
    <t>Viñedo Cuna de Tierra</t>
  </si>
  <si>
    <t>Viñedo Dos Búhos</t>
  </si>
  <si>
    <t>Viñedo La Santísima Trinidad</t>
  </si>
  <si>
    <t>Viñedo San Lucas</t>
  </si>
  <si>
    <t>Viñedo Toyan</t>
  </si>
  <si>
    <t>Viñedo Tres Raíces</t>
  </si>
  <si>
    <t>Viñedos San Miguel</t>
  </si>
  <si>
    <t>Zirándaro</t>
  </si>
  <si>
    <t>Zona Centro</t>
  </si>
  <si>
    <t>NOTAS IMPORTANTES</t>
  </si>
  <si>
    <t>TOURS</t>
  </si>
  <si>
    <t>Mínimo 2 hrs</t>
  </si>
  <si>
    <t>MÍNIMO 2 HRS</t>
  </si>
  <si>
    <t>Atotonilco</t>
  </si>
  <si>
    <t>Mínimo 3 hrs</t>
  </si>
  <si>
    <t>MÍNIMO 3 HRS</t>
  </si>
  <si>
    <t>Mínimo 4 hrs</t>
  </si>
  <si>
    <t>MÍNIMO 4 HRS</t>
  </si>
  <si>
    <t>Mínimo 6 hrs</t>
  </si>
  <si>
    <t>MÍNIMO 6 HRS</t>
  </si>
  <si>
    <t>Mineral de Pozos</t>
  </si>
  <si>
    <t>Mínimo 5 hrs</t>
  </si>
  <si>
    <t>Cañada de la Virgen
(no incluye entradas)</t>
  </si>
  <si>
    <t>Walking Tour 
San Miguel de Allende</t>
  </si>
  <si>
    <t>1 - 5 PAX</t>
  </si>
  <si>
    <t>6 - 10 PAX</t>
  </si>
  <si>
    <t>11 - 15 PAX</t>
  </si>
  <si>
    <t>Casa Adela</t>
  </si>
  <si>
    <t>APLICA CUANDO EL CONDUCTOR PERMANECE EN EL LUGAR INDICADO 
PARA POSTERIORMENTE REGRESO O TRASLADAR AL CLIENTE A OTRO DESTINO. 
EL COBRO SE REALIZA POR HORA O FRACCIÓN, ADICIONAL AL COSTO DEL TRASLADO Y SIN UN MÍNIMO DE HORAS</t>
  </si>
  <si>
    <t>APLICA CUANDO EL CONDUCTOR PERMANECE EN EL LUGAR INDICADO  PARA POSTERIORMENTE REGRESO O TRASLADAR AL CLIENTE A OTRO DESTINO. EL COBRO SE REALIZA POR HORA O FRACCIÓN, ADICIONAL AL COSTO DEL TRASLADO Y SIN UN MÍNIMO DE HORAS</t>
  </si>
  <si>
    <t>PREMIUM</t>
  </si>
  <si>
    <t>La Devoción</t>
  </si>
  <si>
    <t>Rancho Las Puertas</t>
  </si>
  <si>
    <t>Viñedos Patria</t>
  </si>
  <si>
    <t>Finca Luna Serena</t>
  </si>
  <si>
    <t>Viñedo Los Remedios</t>
  </si>
  <si>
    <t>Hacienda Herencia de Allende</t>
  </si>
  <si>
    <t>Hacienda Calderon</t>
  </si>
  <si>
    <t>Opuntia</t>
  </si>
  <si>
    <t>Hacienda Puerto de Sosa</t>
  </si>
  <si>
    <t>APLICA CUANDO EL CONDUCTOR PERMANECE EN EL LUGAR INDICADO PARA POSTERIORMENTE REGRESO O TRASLADAR AL CLIENTE A OTRO DESTINO. EL COBRO SE REALIZA POR HORA O FRACCIÓN, ADICIONAL AL COSTO DEL TRASLADO Y SIN UN MÍNIMO DE HORAS</t>
  </si>
  <si>
    <t>GREEN CLASS</t>
  </si>
  <si>
    <t>MODEL 3</t>
  </si>
  <si>
    <t>MODEL Y</t>
  </si>
  <si>
    <r>
      <rPr>
        <b/>
        <sz val="10"/>
        <color theme="1"/>
        <rFont val="Avenir Book"/>
        <family val="2"/>
      </rPr>
      <t>TARIFAS</t>
    </r>
    <r>
      <rPr>
        <sz val="10"/>
        <color theme="1"/>
        <rFont val="Avenir Book"/>
        <family val="2"/>
      </rPr>
      <t xml:space="preserve">
MODEL 3: $533.38 MXN
MODEL Y: $711.18 MXN</t>
    </r>
  </si>
  <si>
    <t>AUMENTO</t>
  </si>
  <si>
    <t>CUALQUIER RECORRIDO QUE NO FORME PARTE DE ESTA LISTA, INCLUYENDO RECORRIDOS PERSONALIZADOS, ESTARÁ SUJETO A DISPONIBILIDAD Y DEBERÁ COTIZARSE DE MANERA INDIVIDUAL CON AL MENOS 24 HORAS DE ANTICIPACIÓN.
TODOS LOS TOURS SE COBRAN POR HORA O FRACCIÓN, CON UN MÍNIMO DE HORAS.
CANCELACIONES Y CAMBIOS DE FECHA U HORARIO CON MENOS DE 24 HORAS DE ANTICIPACIÓN, SE COBRARÁ EL EQUIVALENTE AL MÍNIMO DE HORAS.</t>
  </si>
  <si>
    <t>CUALQUIER RECORRIDO QUE NO FORME PARTE DE ESTA LISTA, INCLUYENDO RECORRIDOS PERSONALIZADOS, ESTARÁ SUJETO A DISPONIBILIDAD Y DEBERÁ COTIZARSE DE MANERA 
INDIVIDUAL CON AL MENOS 24 HORAS DE ANTICIPACIÓN.
TODOS LOS TOURS SE COBRAN POR HORA O FRACCIÓN, CON UN MÍNIMO DE HORAS.
CANCELACIONES Y CAMBIOS DE FECHA U HORARIO 
CON MENOS DE 24 HORAS DE ANTICIPACIÓN, SE COBRARÁ EL EQUIVALENTE AL MÍNIMO DE HORAS.</t>
  </si>
  <si>
    <r>
      <rPr>
        <b/>
        <sz val="10"/>
        <color theme="1"/>
        <rFont val="Avenir Book"/>
        <family val="2"/>
      </rPr>
      <t>TARIFAS</t>
    </r>
    <r>
      <rPr>
        <sz val="10"/>
        <color theme="1"/>
        <rFont val="Avenir Book"/>
        <family val="2"/>
      </rPr>
      <t xml:space="preserve">
SEDAN: $533.38 MXN
SUBURBAN: $711.18 MXN
SPRINTER: $1,177.00 MXN</t>
    </r>
  </si>
  <si>
    <r>
      <t xml:space="preserve">TARIFAS
</t>
    </r>
    <r>
      <rPr>
        <sz val="10"/>
        <color theme="1"/>
        <rFont val="Avenir Book"/>
        <family val="2"/>
      </rPr>
      <t>SEDAN: $533.38 MXN
SUBURBAN: $711.18 MXN
SPRINTER: $1,177.00 MXN</t>
    </r>
  </si>
  <si>
    <t>Finca La Devocion</t>
  </si>
  <si>
    <t>LA TARIFA INCLUYE
PAGO DE DERECHO DE PISO</t>
  </si>
  <si>
    <t>FIRST CLASS</t>
  </si>
  <si>
    <t>NUEVO</t>
  </si>
  <si>
    <r>
      <rPr>
        <b/>
        <sz val="10"/>
        <color theme="1"/>
        <rFont val="Avenir Book"/>
        <family val="2"/>
      </rPr>
      <t>TARIFAS</t>
    </r>
    <r>
      <rPr>
        <sz val="10"/>
        <color theme="1"/>
        <rFont val="Avenir Book"/>
        <family val="2"/>
      </rPr>
      <t xml:space="preserve">
SEDAN: $481.00 MXN
VAN: $1,070.00 MXN</t>
    </r>
  </si>
  <si>
    <t>TARIFARIO 2025</t>
  </si>
  <si>
    <r>
      <rPr>
        <b/>
        <sz val="10"/>
        <color theme="1"/>
        <rFont val="Avenir Book"/>
        <family val="2"/>
      </rPr>
      <t>TARIFAS</t>
    </r>
    <r>
      <rPr>
        <sz val="10"/>
        <color theme="1"/>
        <rFont val="Avenir Book"/>
        <family val="2"/>
      </rPr>
      <t xml:space="preserve">
SEDAN: $533.38
SUBURBAN: $800.00 MXN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</si>
</sst>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]* #,##0.00_);_([$$]* \(#,##0.00\);_([$$]* &quot;-&quot;??_);_(@_)" x16r2:formatCode16="_([$$-gsw-CH]* #,##0.00_);_([$$-gsw-CH]* \(#,##0.00\);_([$$-gsw-CH]* &quot;-&quot;??_);_(@_)"/>
  </numFmts>
  <fonts count="21">
    <font>
      <sz val="11"/>
      <color theme="1"/>
      <name val="Aptos Narrow"/>
      <family val="2"/>
      <scheme val="minor"/>
    </font>
    <font>
      <sz val="12"/>
      <color theme="1"/>
      <name val="Avenir"/>
      <family val="2"/>
    </font>
    <font>
      <sz val="11"/>
      <color theme="1"/>
      <name val="Aptos Narrow"/>
      <family val="2"/>
      <scheme val="minor"/>
    </font>
    <font>
      <sz val="11"/>
      <color theme="1"/>
      <name val="Avenir Book"/>
      <family val="2"/>
    </font>
    <font>
      <b/>
      <sz val="14"/>
      <color theme="0"/>
      <name val="Avenir Book"/>
      <family val="2"/>
    </font>
    <font>
      <sz val="14"/>
      <color theme="0"/>
      <name val="Avenir Black"/>
      <family val="2"/>
    </font>
    <font>
      <sz val="12"/>
      <color theme="0"/>
      <name val="Avenir Book"/>
      <family val="2"/>
    </font>
    <font>
      <b/>
      <sz val="11"/>
      <color theme="1"/>
      <name val="Avenir Book"/>
      <family val="2"/>
    </font>
    <font>
      <b/>
      <sz val="13"/>
      <color theme="1"/>
      <name val="Avenir Book"/>
      <family val="2"/>
    </font>
    <font>
      <sz val="12"/>
      <color theme="1"/>
      <name val="Avenir Book"/>
      <family val="2"/>
    </font>
    <font>
      <b/>
      <sz val="13"/>
      <color theme="0"/>
      <name val="Avenir Book"/>
      <family val="2"/>
    </font>
    <font>
      <b/>
      <sz val="10"/>
      <color rgb="FF002060"/>
      <name val="Avenir Book"/>
      <family val="2"/>
    </font>
    <font>
      <sz val="10"/>
      <color theme="1"/>
      <name val="Avenir Book"/>
      <family val="2"/>
    </font>
    <font>
      <b/>
      <sz val="10"/>
      <color theme="1"/>
      <name val="Avenir Book"/>
      <family val="2"/>
    </font>
    <font>
      <b/>
      <sz val="12"/>
      <color theme="0"/>
      <name val="Avenir Book"/>
      <family val="2"/>
    </font>
    <font>
      <b/>
      <sz val="11"/>
      <name val="Avenir Book"/>
      <family val="2"/>
    </font>
    <font>
      <b/>
      <sz val="11"/>
      <color rgb="FF002060"/>
      <name val="Avenir Book"/>
      <family val="2"/>
    </font>
    <font>
      <sz val="11"/>
      <name val="Avenir Book"/>
      <family val="2"/>
    </font>
    <font>
      <b/>
      <sz val="10"/>
      <name val="Avenir Book"/>
      <family val="2"/>
    </font>
    <font>
      <b/>
      <sz val="10"/>
      <color theme="0"/>
      <name val="Avenir Book"/>
      <family val="2"/>
    </font>
    <font>
      <b/>
      <sz val="11"/>
      <color theme="0"/>
      <name val="Avenir Book"/>
      <family val="2"/>
    </font>
  </fonts>
  <fills count="17">
    <fill>
      <patternFill patternType="none"/>
    </fill>
    <fill>
      <patternFill patternType="gray125"/>
    </fill>
    <fill>
      <patternFill patternType="solid">
        <fgColor rgb="FF605E5E"/>
        <bgColor indexed="64"/>
      </patternFill>
    </fill>
    <fill>
      <patternFill patternType="solid">
        <fgColor rgb="FFDB2C46"/>
        <bgColor indexed="64"/>
      </patternFill>
    </fill>
    <fill>
      <patternFill patternType="solid">
        <fgColor rgb="FFF7A80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4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692B"/>
        <bgColor indexed="64"/>
      </patternFill>
    </fill>
    <fill>
      <patternFill patternType="solid">
        <fgColor rgb="FFFDC8A4"/>
        <bgColor indexed="64"/>
      </patternFill>
    </fill>
    <fill>
      <patternFill patternType="solid">
        <fgColor rgb="FF05693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1A2F"/>
        <bgColor indexed="64"/>
      </patternFill>
    </fill>
    <fill>
      <patternFill patternType="solid">
        <fgColor rgb="FFFFD6E2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9" xfId="0" applyFont="1" applyBorder="1" applyAlignment="1">
      <alignment horizontal="center" vertical="center" wrapText="1"/>
    </xf>
    <xf numFmtId="0" fontId="9" fillId="0" borderId="0" xfId="0" applyFont="1"/>
    <xf numFmtId="9" fontId="9" fillId="6" borderId="0" xfId="0" applyNumberFormat="1" applyFont="1" applyFill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4" fontId="9" fillId="0" borderId="0" xfId="0" applyNumberFormat="1" applyFont="1"/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10" fontId="9" fillId="0" borderId="0" xfId="3" applyNumberFormat="1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8" fontId="9" fillId="0" borderId="0" xfId="0" applyNumberFormat="1" applyFont="1"/>
    <xf numFmtId="0" fontId="12" fillId="0" borderId="24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164" fontId="17" fillId="0" borderId="27" xfId="0" applyNumberFormat="1" applyFont="1" applyBorder="1" applyAlignment="1">
      <alignment horizontal="fill" vertical="center" wrapText="1"/>
    </xf>
    <xf numFmtId="9" fontId="9" fillId="0" borderId="0" xfId="3" applyFont="1" applyAlignment="1">
      <alignment wrapText="1"/>
    </xf>
    <xf numFmtId="164" fontId="17" fillId="9" borderId="27" xfId="0" applyNumberFormat="1" applyFont="1" applyFill="1" applyBorder="1" applyAlignment="1">
      <alignment horizontal="fill" vertical="center" wrapText="1"/>
    </xf>
    <xf numFmtId="164" fontId="17" fillId="7" borderId="27" xfId="0" applyNumberFormat="1" applyFont="1" applyFill="1" applyBorder="1" applyAlignment="1">
      <alignment horizontal="fill" vertical="center" wrapText="1"/>
    </xf>
    <xf numFmtId="164" fontId="17" fillId="10" borderId="27" xfId="0" applyNumberFormat="1" applyFont="1" applyFill="1" applyBorder="1" applyAlignment="1">
      <alignment horizontal="fill" vertical="center" wrapText="1"/>
    </xf>
    <xf numFmtId="0" fontId="3" fillId="0" borderId="1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164" fontId="3" fillId="0" borderId="0" xfId="0" applyNumberFormat="1" applyFont="1"/>
    <xf numFmtId="164" fontId="17" fillId="0" borderId="11" xfId="0" applyNumberFormat="1" applyFont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44" fontId="12" fillId="0" borderId="25" xfId="4" applyFont="1" applyBorder="1" applyAlignment="1">
      <alignment horizontal="center" wrapText="1"/>
    </xf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11" fillId="0" borderId="27" xfId="0" applyFont="1" applyBorder="1" applyAlignment="1">
      <alignment horizontal="center" vertical="center" wrapText="1"/>
    </xf>
    <xf numFmtId="44" fontId="12" fillId="0" borderId="30" xfId="4" applyFont="1" applyBorder="1" applyAlignment="1">
      <alignment horizontal="center" wrapText="1"/>
    </xf>
    <xf numFmtId="0" fontId="12" fillId="8" borderId="20" xfId="0" applyFont="1" applyFill="1" applyBorder="1" applyAlignment="1">
      <alignment horizontal="center" vertical="center" wrapText="1"/>
    </xf>
    <xf numFmtId="44" fontId="12" fillId="8" borderId="29" xfId="4" applyFont="1" applyFill="1" applyBorder="1" applyAlignment="1">
      <alignment horizontal="center" wrapText="1"/>
    </xf>
    <xf numFmtId="44" fontId="12" fillId="8" borderId="33" xfId="4" applyFont="1" applyFill="1" applyBorder="1" applyAlignment="1">
      <alignment horizontal="center" wrapText="1"/>
    </xf>
    <xf numFmtId="44" fontId="12" fillId="8" borderId="31" xfId="4" applyFont="1" applyFill="1" applyBorder="1" applyAlignment="1">
      <alignment horizontal="right" wrapText="1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0" xfId="0" quotePrefix="1" applyFont="1" applyFill="1" applyAlignment="1">
      <alignment horizontal="right"/>
    </xf>
    <xf numFmtId="44" fontId="12" fillId="0" borderId="22" xfId="1" applyFont="1" applyBorder="1" applyAlignment="1">
      <alignment horizontal="right" wrapText="1"/>
    </xf>
    <xf numFmtId="44" fontId="12" fillId="0" borderId="30" xfId="1" applyFont="1" applyBorder="1" applyAlignment="1">
      <alignment horizontal="center" wrapText="1"/>
    </xf>
    <xf numFmtId="44" fontId="12" fillId="8" borderId="35" xfId="1" applyFont="1" applyFill="1" applyBorder="1" applyAlignment="1">
      <alignment horizontal="right" wrapText="1"/>
    </xf>
    <xf numFmtId="44" fontId="12" fillId="0" borderId="24" xfId="1" applyFont="1" applyBorder="1" applyAlignment="1">
      <alignment horizontal="right" wrapText="1"/>
    </xf>
    <xf numFmtId="44" fontId="12" fillId="8" borderId="37" xfId="1" applyFont="1" applyFill="1" applyBorder="1" applyAlignment="1">
      <alignment horizontal="right" wrapText="1"/>
    </xf>
    <xf numFmtId="44" fontId="12" fillId="8" borderId="16" xfId="1" applyFont="1" applyFill="1" applyBorder="1" applyAlignment="1">
      <alignment horizontal="right" wrapText="1"/>
    </xf>
    <xf numFmtId="0" fontId="18" fillId="4" borderId="2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right" indent="12"/>
    </xf>
    <xf numFmtId="0" fontId="6" fillId="2" borderId="0" xfId="0" applyFont="1" applyFill="1" applyAlignment="1">
      <alignment horizontal="right" indent="12"/>
    </xf>
    <xf numFmtId="0" fontId="6" fillId="2" borderId="0" xfId="0" quotePrefix="1" applyFont="1" applyFill="1" applyAlignment="1">
      <alignment horizontal="right" indent="12"/>
    </xf>
    <xf numFmtId="0" fontId="18" fillId="11" borderId="9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3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wrapText="1"/>
    </xf>
    <xf numFmtId="0" fontId="12" fillId="12" borderId="12" xfId="0" applyFont="1" applyFill="1" applyBorder="1" applyAlignment="1">
      <alignment horizontal="center" wrapText="1"/>
    </xf>
    <xf numFmtId="44" fontId="12" fillId="8" borderId="23" xfId="4" applyFont="1" applyFill="1" applyBorder="1" applyAlignment="1">
      <alignment horizontal="center" wrapText="1"/>
    </xf>
    <xf numFmtId="44" fontId="12" fillId="0" borderId="25" xfId="1" applyFont="1" applyBorder="1" applyAlignment="1">
      <alignment horizontal="center" wrapText="1"/>
    </xf>
    <xf numFmtId="44" fontId="12" fillId="8" borderId="38" xfId="4" applyFont="1" applyFill="1" applyBorder="1" applyAlignment="1">
      <alignment horizontal="center" wrapText="1"/>
    </xf>
    <xf numFmtId="44" fontId="12" fillId="8" borderId="26" xfId="4" applyFont="1" applyFill="1" applyBorder="1" applyAlignment="1">
      <alignment horizontal="right" wrapText="1"/>
    </xf>
    <xf numFmtId="44" fontId="12" fillId="8" borderId="34" xfId="1" applyFont="1" applyFill="1" applyBorder="1" applyAlignment="1">
      <alignment horizontal="right" wrapText="1"/>
    </xf>
    <xf numFmtId="44" fontId="12" fillId="0" borderId="36" xfId="1" applyFont="1" applyBorder="1" applyAlignment="1">
      <alignment horizontal="right" wrapText="1"/>
    </xf>
    <xf numFmtId="44" fontId="12" fillId="8" borderId="39" xfId="1" applyFont="1" applyFill="1" applyBorder="1" applyAlignment="1">
      <alignment horizontal="right" wrapText="1"/>
    </xf>
    <xf numFmtId="44" fontId="12" fillId="8" borderId="40" xfId="1" applyFont="1" applyFill="1" applyBorder="1" applyAlignment="1">
      <alignment horizontal="right" wrapText="1"/>
    </xf>
    <xf numFmtId="44" fontId="0" fillId="0" borderId="0" xfId="0" applyNumberFormat="1"/>
    <xf numFmtId="44" fontId="12" fillId="0" borderId="22" xfId="1" applyFont="1" applyBorder="1" applyAlignment="1">
      <alignment horizontal="center" wrapText="1"/>
    </xf>
    <xf numFmtId="44" fontId="12" fillId="0" borderId="22" xfId="4" applyFont="1" applyBorder="1" applyAlignment="1">
      <alignment horizontal="center" wrapText="1"/>
    </xf>
    <xf numFmtId="0" fontId="12" fillId="12" borderId="20" xfId="0" applyFont="1" applyFill="1" applyBorder="1" applyAlignment="1">
      <alignment horizontal="center" vertical="center" wrapText="1"/>
    </xf>
    <xf numFmtId="44" fontId="12" fillId="12" borderId="13" xfId="1" applyFont="1" applyFill="1" applyBorder="1" applyAlignment="1">
      <alignment horizontal="right" wrapText="1"/>
    </xf>
    <xf numFmtId="44" fontId="12" fillId="12" borderId="41" xfId="4" applyFont="1" applyFill="1" applyBorder="1" applyAlignment="1">
      <alignment horizontal="center" wrapText="1"/>
    </xf>
    <xf numFmtId="44" fontId="12" fillId="12" borderId="23" xfId="4" applyFont="1" applyFill="1" applyBorder="1" applyAlignment="1">
      <alignment horizontal="center" wrapText="1"/>
    </xf>
    <xf numFmtId="44" fontId="12" fillId="12" borderId="32" xfId="1" applyFont="1" applyFill="1" applyBorder="1" applyAlignment="1">
      <alignment horizontal="right" wrapText="1"/>
    </xf>
    <xf numFmtId="44" fontId="12" fillId="12" borderId="21" xfId="4" applyFont="1" applyFill="1" applyBorder="1" applyAlignment="1">
      <alignment horizontal="center" wrapText="1"/>
    </xf>
    <xf numFmtId="44" fontId="12" fillId="12" borderId="38" xfId="4" applyFont="1" applyFill="1" applyBorder="1" applyAlignment="1">
      <alignment horizontal="center" wrapText="1"/>
    </xf>
    <xf numFmtId="164" fontId="17" fillId="0" borderId="27" xfId="0" applyNumberFormat="1" applyFont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12" fillId="14" borderId="13" xfId="0" applyFont="1" applyFill="1" applyBorder="1" applyAlignment="1">
      <alignment horizontal="center" vertical="center" wrapText="1"/>
    </xf>
    <xf numFmtId="0" fontId="12" fillId="14" borderId="16" xfId="0" applyFont="1" applyFill="1" applyBorder="1" applyAlignment="1">
      <alignment horizontal="center" vertical="center" wrapText="1"/>
    </xf>
    <xf numFmtId="0" fontId="12" fillId="14" borderId="17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wrapText="1"/>
    </xf>
    <xf numFmtId="0" fontId="12" fillId="14" borderId="20" xfId="0" applyFont="1" applyFill="1" applyBorder="1" applyAlignment="1">
      <alignment horizontal="center" vertical="center" wrapText="1"/>
    </xf>
    <xf numFmtId="44" fontId="12" fillId="14" borderId="23" xfId="4" applyFont="1" applyFill="1" applyBorder="1" applyAlignment="1">
      <alignment horizontal="center" wrapText="1"/>
    </xf>
    <xf numFmtId="44" fontId="12" fillId="14" borderId="38" xfId="4" applyFont="1" applyFill="1" applyBorder="1" applyAlignment="1">
      <alignment horizontal="center" wrapText="1"/>
    </xf>
    <xf numFmtId="9" fontId="3" fillId="0" borderId="0" xfId="2" applyFont="1"/>
    <xf numFmtId="9" fontId="3" fillId="0" borderId="0" xfId="2" applyFont="1" applyAlignment="1">
      <alignment horizontal="center"/>
    </xf>
    <xf numFmtId="44" fontId="12" fillId="14" borderId="38" xfId="1" applyFont="1" applyFill="1" applyBorder="1" applyAlignment="1">
      <alignment horizontal="center" wrapText="1"/>
    </xf>
    <xf numFmtId="44" fontId="12" fillId="14" borderId="26" xfId="1" applyFont="1" applyFill="1" applyBorder="1" applyAlignment="1">
      <alignment horizontal="right" wrapText="1"/>
    </xf>
    <xf numFmtId="0" fontId="19" fillId="13" borderId="10" xfId="0" applyFont="1" applyFill="1" applyBorder="1" applyAlignment="1">
      <alignment horizontal="center" vertical="center" wrapText="1"/>
    </xf>
    <xf numFmtId="44" fontId="12" fillId="14" borderId="12" xfId="1" applyFont="1" applyFill="1" applyBorder="1" applyAlignment="1">
      <alignment horizontal="right" wrapText="1"/>
    </xf>
    <xf numFmtId="44" fontId="12" fillId="14" borderId="20" xfId="1" applyFont="1" applyFill="1" applyBorder="1" applyAlignment="1">
      <alignment horizontal="right" wrapText="1"/>
    </xf>
    <xf numFmtId="0" fontId="19" fillId="13" borderId="42" xfId="0" applyFont="1" applyFill="1" applyBorder="1" applyAlignment="1">
      <alignment horizontal="center" vertical="center" wrapText="1"/>
    </xf>
    <xf numFmtId="44" fontId="12" fillId="14" borderId="16" xfId="1" applyFont="1" applyFill="1" applyBorder="1" applyAlignment="1">
      <alignment horizontal="right" wrapText="1"/>
    </xf>
    <xf numFmtId="44" fontId="12" fillId="8" borderId="24" xfId="1" applyFont="1" applyFill="1" applyBorder="1" applyAlignment="1">
      <alignment horizontal="right" wrapText="1"/>
    </xf>
    <xf numFmtId="0" fontId="19" fillId="13" borderId="27" xfId="0" applyFont="1" applyFill="1" applyBorder="1" applyAlignment="1">
      <alignment horizontal="center" vertical="center" wrapText="1"/>
    </xf>
    <xf numFmtId="44" fontId="12" fillId="8" borderId="38" xfId="1" applyFont="1" applyFill="1" applyBorder="1" applyAlignment="1">
      <alignment horizontal="right" wrapText="1"/>
    </xf>
    <xf numFmtId="44" fontId="12" fillId="8" borderId="6" xfId="1" applyFont="1" applyFill="1" applyBorder="1" applyAlignment="1">
      <alignment horizontal="right" wrapText="1"/>
    </xf>
    <xf numFmtId="44" fontId="12" fillId="8" borderId="43" xfId="4" applyFont="1" applyFill="1" applyBorder="1" applyAlignment="1">
      <alignment horizontal="center" wrapText="1"/>
    </xf>
    <xf numFmtId="0" fontId="3" fillId="12" borderId="12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44" fontId="12" fillId="12" borderId="44" xfId="1" applyFont="1" applyFill="1" applyBorder="1" applyAlignment="1">
      <alignment horizontal="right" wrapText="1"/>
    </xf>
    <xf numFmtId="44" fontId="12" fillId="12" borderId="45" xfId="4" applyFont="1" applyFill="1" applyBorder="1" applyAlignment="1">
      <alignment horizontal="center" wrapText="1"/>
    </xf>
    <xf numFmtId="44" fontId="12" fillId="12" borderId="8" xfId="4" applyFont="1" applyFill="1" applyBorder="1" applyAlignment="1">
      <alignment horizontal="center" wrapText="1"/>
    </xf>
    <xf numFmtId="0" fontId="17" fillId="14" borderId="27" xfId="0" applyFont="1" applyFill="1" applyBorder="1" applyAlignment="1">
      <alignment horizontal="center" vertical="center" wrapText="1"/>
    </xf>
    <xf numFmtId="0" fontId="19" fillId="15" borderId="9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 wrapText="1"/>
    </xf>
    <xf numFmtId="0" fontId="12" fillId="16" borderId="16" xfId="0" applyFont="1" applyFill="1" applyBorder="1" applyAlignment="1">
      <alignment horizontal="center" vertical="center" wrapText="1"/>
    </xf>
    <xf numFmtId="0" fontId="12" fillId="16" borderId="17" xfId="0" applyFont="1" applyFill="1" applyBorder="1" applyAlignment="1">
      <alignment horizontal="center" vertical="center" wrapText="1"/>
    </xf>
    <xf numFmtId="0" fontId="19" fillId="15" borderId="27" xfId="0" applyFont="1" applyFill="1" applyBorder="1" applyAlignment="1">
      <alignment horizontal="center" vertical="center" wrapText="1"/>
    </xf>
    <xf numFmtId="0" fontId="12" fillId="16" borderId="20" xfId="0" applyFont="1" applyFill="1" applyBorder="1" applyAlignment="1">
      <alignment horizontal="center" vertical="center" wrapText="1"/>
    </xf>
    <xf numFmtId="44" fontId="12" fillId="16" borderId="29" xfId="4" applyFont="1" applyFill="1" applyBorder="1" applyAlignment="1">
      <alignment horizontal="center" wrapText="1"/>
    </xf>
    <xf numFmtId="44" fontId="12" fillId="16" borderId="33" xfId="4" applyFont="1" applyFill="1" applyBorder="1" applyAlignment="1">
      <alignment horizontal="center" wrapText="1"/>
    </xf>
    <xf numFmtId="44" fontId="12" fillId="16" borderId="43" xfId="4" applyFont="1" applyFill="1" applyBorder="1" applyAlignment="1">
      <alignment horizontal="center" wrapText="1"/>
    </xf>
    <xf numFmtId="164" fontId="3" fillId="0" borderId="27" xfId="0" applyNumberFormat="1" applyFont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164" fontId="3" fillId="16" borderId="27" xfId="0" applyNumberFormat="1" applyFont="1" applyFill="1" applyBorder="1" applyAlignment="1">
      <alignment horizontal="center" vertical="center" wrapText="1"/>
    </xf>
    <xf numFmtId="0" fontId="17" fillId="16" borderId="27" xfId="0" applyFont="1" applyFill="1" applyBorder="1" applyAlignment="1">
      <alignment horizontal="center" vertical="center" wrapText="1"/>
    </xf>
    <xf numFmtId="44" fontId="3" fillId="0" borderId="0" xfId="1" applyFont="1" applyAlignment="1">
      <alignment wrapText="1"/>
    </xf>
    <xf numFmtId="0" fontId="19" fillId="1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164" fontId="12" fillId="8" borderId="14" xfId="0" applyNumberFormat="1" applyFont="1" applyFill="1" applyBorder="1" applyAlignment="1">
      <alignment horizontal="center" wrapText="1"/>
    </xf>
    <xf numFmtId="164" fontId="12" fillId="8" borderId="18" xfId="0" applyNumberFormat="1" applyFont="1" applyFill="1" applyBorder="1" applyAlignment="1">
      <alignment horizont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164" fontId="12" fillId="8" borderId="3" xfId="0" applyNumberFormat="1" applyFont="1" applyFill="1" applyBorder="1" applyAlignment="1">
      <alignment horizontal="center" vertical="center" wrapText="1"/>
    </xf>
    <xf numFmtId="164" fontId="12" fillId="8" borderId="6" xfId="0" applyNumberFormat="1" applyFont="1" applyFill="1" applyBorder="1" applyAlignment="1">
      <alignment horizontal="center" vertical="center" wrapText="1"/>
    </xf>
    <xf numFmtId="164" fontId="12" fillId="8" borderId="8" xfId="0" applyNumberFormat="1" applyFont="1" applyFill="1" applyBorder="1" applyAlignment="1">
      <alignment horizontal="center" vertical="center" wrapText="1"/>
    </xf>
    <xf numFmtId="164" fontId="12" fillId="0" borderId="14" xfId="0" applyNumberFormat="1" applyFont="1" applyBorder="1" applyAlignment="1">
      <alignment horizontal="center" wrapText="1"/>
    </xf>
    <xf numFmtId="164" fontId="12" fillId="0" borderId="18" xfId="0" applyNumberFormat="1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164" fontId="12" fillId="8" borderId="15" xfId="0" applyNumberFormat="1" applyFont="1" applyFill="1" applyBorder="1" applyAlignment="1">
      <alignment horizontal="center" wrapText="1"/>
    </xf>
    <xf numFmtId="164" fontId="12" fillId="8" borderId="19" xfId="0" applyNumberFormat="1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wrapText="1"/>
    </xf>
    <xf numFmtId="164" fontId="12" fillId="0" borderId="19" xfId="0" applyNumberFormat="1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164" fontId="12" fillId="12" borderId="14" xfId="0" applyNumberFormat="1" applyFont="1" applyFill="1" applyBorder="1" applyAlignment="1">
      <alignment horizontal="center" wrapText="1"/>
    </xf>
    <xf numFmtId="164" fontId="12" fillId="12" borderId="18" xfId="0" applyNumberFormat="1" applyFont="1" applyFill="1" applyBorder="1" applyAlignment="1">
      <alignment horizontal="center" wrapText="1"/>
    </xf>
    <xf numFmtId="0" fontId="10" fillId="11" borderId="0" xfId="0" applyFont="1" applyFill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164" fontId="12" fillId="12" borderId="15" xfId="0" applyNumberFormat="1" applyFont="1" applyFill="1" applyBorder="1" applyAlignment="1">
      <alignment horizontal="center" wrapText="1"/>
    </xf>
    <xf numFmtId="164" fontId="12" fillId="12" borderId="19" xfId="0" applyNumberFormat="1" applyFont="1" applyFill="1" applyBorder="1" applyAlignment="1">
      <alignment horizontal="center" wrapText="1"/>
    </xf>
    <xf numFmtId="164" fontId="12" fillId="12" borderId="3" xfId="0" applyNumberFormat="1" applyFont="1" applyFill="1" applyBorder="1" applyAlignment="1">
      <alignment horizontal="center" vertical="center" wrapText="1"/>
    </xf>
    <xf numFmtId="164" fontId="12" fillId="12" borderId="8" xfId="0" applyNumberFormat="1" applyFont="1" applyFill="1" applyBorder="1" applyAlignment="1">
      <alignment horizontal="center" vertical="center" wrapText="1"/>
    </xf>
    <xf numFmtId="44" fontId="12" fillId="0" borderId="15" xfId="1" applyFont="1" applyBorder="1" applyAlignment="1">
      <alignment horizontal="center" wrapText="1"/>
    </xf>
    <xf numFmtId="44" fontId="12" fillId="0" borderId="19" xfId="1" applyFont="1" applyBorder="1" applyAlignment="1">
      <alignment horizontal="center" wrapText="1"/>
    </xf>
    <xf numFmtId="44" fontId="12" fillId="12" borderId="15" xfId="1" applyFont="1" applyFill="1" applyBorder="1" applyAlignment="1">
      <alignment horizontal="center" wrapText="1"/>
    </xf>
    <xf numFmtId="44" fontId="12" fillId="12" borderId="19" xfId="1" applyFont="1" applyFill="1" applyBorder="1" applyAlignment="1">
      <alignment horizontal="center" wrapText="1"/>
    </xf>
    <xf numFmtId="0" fontId="13" fillId="11" borderId="1" xfId="0" applyFont="1" applyFill="1" applyBorder="1" applyAlignment="1">
      <alignment horizontal="center" wrapText="1"/>
    </xf>
    <xf numFmtId="0" fontId="13" fillId="11" borderId="2" xfId="0" applyFont="1" applyFill="1" applyBorder="1" applyAlignment="1">
      <alignment horizontal="center" wrapText="1"/>
    </xf>
    <xf numFmtId="0" fontId="13" fillId="11" borderId="3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164" fontId="3" fillId="12" borderId="9" xfId="0" applyNumberFormat="1" applyFont="1" applyFill="1" applyBorder="1" applyAlignment="1">
      <alignment horizontal="center" vertical="center" wrapText="1"/>
    </xf>
    <xf numFmtId="164" fontId="3" fillId="12" borderId="10" xfId="0" applyNumberFormat="1" applyFont="1" applyFill="1" applyBorder="1" applyAlignment="1">
      <alignment horizontal="center" vertical="center" wrapText="1"/>
    </xf>
    <xf numFmtId="164" fontId="3" fillId="12" borderId="11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wrapText="1"/>
    </xf>
    <xf numFmtId="0" fontId="15" fillId="11" borderId="2" xfId="0" applyFont="1" applyFill="1" applyBorder="1" applyAlignment="1">
      <alignment horizontal="center" wrapText="1"/>
    </xf>
    <xf numFmtId="0" fontId="15" fillId="11" borderId="3" xfId="0" applyFont="1" applyFill="1" applyBorder="1" applyAlignment="1">
      <alignment horizontal="center" wrapText="1"/>
    </xf>
    <xf numFmtId="164" fontId="12" fillId="5" borderId="14" xfId="0" applyNumberFormat="1" applyFont="1" applyFill="1" applyBorder="1" applyAlignment="1">
      <alignment horizontal="center" wrapText="1"/>
    </xf>
    <xf numFmtId="164" fontId="12" fillId="5" borderId="18" xfId="0" applyNumberFormat="1" applyFont="1" applyFill="1" applyBorder="1" applyAlignment="1">
      <alignment horizontal="center" wrapText="1"/>
    </xf>
    <xf numFmtId="164" fontId="12" fillId="5" borderId="15" xfId="0" applyNumberFormat="1" applyFont="1" applyFill="1" applyBorder="1" applyAlignment="1">
      <alignment horizontal="center" wrapText="1"/>
    </xf>
    <xf numFmtId="164" fontId="12" fillId="5" borderId="19" xfId="0" applyNumberFormat="1" applyFont="1" applyFill="1" applyBorder="1" applyAlignment="1">
      <alignment horizontal="center" wrapText="1"/>
    </xf>
    <xf numFmtId="0" fontId="10" fillId="13" borderId="0" xfId="0" applyFont="1" applyFill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19" fillId="13" borderId="11" xfId="0" applyFont="1" applyFill="1" applyBorder="1" applyAlignment="1">
      <alignment horizontal="center" vertical="center" wrapText="1"/>
    </xf>
    <xf numFmtId="164" fontId="12" fillId="14" borderId="14" xfId="0" applyNumberFormat="1" applyFont="1" applyFill="1" applyBorder="1" applyAlignment="1">
      <alignment horizontal="center" wrapText="1"/>
    </xf>
    <xf numFmtId="164" fontId="12" fillId="14" borderId="18" xfId="0" applyNumberFormat="1" applyFont="1" applyFill="1" applyBorder="1" applyAlignment="1">
      <alignment horizontal="center" wrapText="1"/>
    </xf>
    <xf numFmtId="164" fontId="12" fillId="14" borderId="1" xfId="0" applyNumberFormat="1" applyFont="1" applyFill="1" applyBorder="1" applyAlignment="1">
      <alignment horizontal="center" vertical="center" wrapText="1"/>
    </xf>
    <xf numFmtId="164" fontId="12" fillId="14" borderId="3" xfId="0" applyNumberFormat="1" applyFont="1" applyFill="1" applyBorder="1" applyAlignment="1">
      <alignment horizontal="center" vertical="center" wrapText="1"/>
    </xf>
    <xf numFmtId="164" fontId="12" fillId="14" borderId="6" xfId="0" applyNumberFormat="1" applyFont="1" applyFill="1" applyBorder="1" applyAlignment="1">
      <alignment horizontal="center" vertical="center" wrapText="1"/>
    </xf>
    <xf numFmtId="164" fontId="12" fillId="14" borderId="8" xfId="0" applyNumberFormat="1" applyFont="1" applyFill="1" applyBorder="1" applyAlignment="1">
      <alignment horizontal="center" vertical="center" wrapText="1"/>
    </xf>
    <xf numFmtId="164" fontId="12" fillId="14" borderId="15" xfId="0" applyNumberFormat="1" applyFont="1" applyFill="1" applyBorder="1" applyAlignment="1">
      <alignment horizontal="center" wrapText="1"/>
    </xf>
    <xf numFmtId="164" fontId="12" fillId="14" borderId="19" xfId="0" applyNumberFormat="1" applyFont="1" applyFill="1" applyBorder="1" applyAlignment="1">
      <alignment horizontal="center" wrapText="1"/>
    </xf>
    <xf numFmtId="0" fontId="19" fillId="13" borderId="1" xfId="0" applyFont="1" applyFill="1" applyBorder="1" applyAlignment="1">
      <alignment horizontal="center" wrapText="1"/>
    </xf>
    <xf numFmtId="0" fontId="19" fillId="13" borderId="2" xfId="0" applyFont="1" applyFill="1" applyBorder="1" applyAlignment="1">
      <alignment horizontal="center" wrapText="1"/>
    </xf>
    <xf numFmtId="0" fontId="19" fillId="13" borderId="3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164" fontId="3" fillId="14" borderId="9" xfId="0" applyNumberFormat="1" applyFont="1" applyFill="1" applyBorder="1" applyAlignment="1">
      <alignment horizontal="center" vertical="center" wrapText="1"/>
    </xf>
    <xf numFmtId="164" fontId="3" fillId="14" borderId="11" xfId="0" applyNumberFormat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wrapText="1"/>
    </xf>
    <xf numFmtId="0" fontId="20" fillId="13" borderId="2" xfId="0" applyFont="1" applyFill="1" applyBorder="1" applyAlignment="1">
      <alignment horizontal="center" wrapText="1"/>
    </xf>
    <xf numFmtId="0" fontId="20" fillId="13" borderId="3" xfId="0" applyFont="1" applyFill="1" applyBorder="1" applyAlignment="1">
      <alignment horizontal="center" wrapText="1"/>
    </xf>
    <xf numFmtId="164" fontId="12" fillId="16" borderId="14" xfId="0" applyNumberFormat="1" applyFont="1" applyFill="1" applyBorder="1" applyAlignment="1">
      <alignment horizontal="center" wrapText="1"/>
    </xf>
    <xf numFmtId="164" fontId="12" fillId="16" borderId="18" xfId="0" applyNumberFormat="1" applyFont="1" applyFill="1" applyBorder="1" applyAlignment="1">
      <alignment horizontal="center" wrapText="1"/>
    </xf>
    <xf numFmtId="0" fontId="10" fillId="15" borderId="0" xfId="0" applyFont="1" applyFill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19" fillId="15" borderId="9" xfId="0" applyFont="1" applyFill="1" applyBorder="1" applyAlignment="1">
      <alignment horizontal="center" vertical="center" wrapText="1"/>
    </xf>
    <xf numFmtId="0" fontId="19" fillId="15" borderId="1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center" vertical="center" wrapText="1"/>
    </xf>
    <xf numFmtId="164" fontId="12" fillId="16" borderId="3" xfId="0" applyNumberFormat="1" applyFont="1" applyFill="1" applyBorder="1" applyAlignment="1">
      <alignment horizontal="center" vertical="center" wrapText="1"/>
    </xf>
    <xf numFmtId="164" fontId="12" fillId="16" borderId="6" xfId="0" applyNumberFormat="1" applyFont="1" applyFill="1" applyBorder="1" applyAlignment="1">
      <alignment horizontal="center" vertical="center" wrapText="1"/>
    </xf>
    <xf numFmtId="164" fontId="12" fillId="16" borderId="8" xfId="0" applyNumberFormat="1" applyFont="1" applyFill="1" applyBorder="1" applyAlignment="1">
      <alignment horizontal="center" vertical="center" wrapText="1"/>
    </xf>
    <xf numFmtId="164" fontId="12" fillId="16" borderId="15" xfId="0" applyNumberFormat="1" applyFont="1" applyFill="1" applyBorder="1" applyAlignment="1">
      <alignment horizontal="center" wrapText="1"/>
    </xf>
    <xf numFmtId="164" fontId="12" fillId="16" borderId="19" xfId="0" applyNumberFormat="1" applyFont="1" applyFill="1" applyBorder="1" applyAlignment="1">
      <alignment horizontal="center" wrapText="1"/>
    </xf>
    <xf numFmtId="0" fontId="19" fillId="15" borderId="1" xfId="0" applyFont="1" applyFill="1" applyBorder="1" applyAlignment="1">
      <alignment horizontal="center" wrapText="1"/>
    </xf>
    <xf numFmtId="0" fontId="19" fillId="15" borderId="2" xfId="0" applyFont="1" applyFill="1" applyBorder="1" applyAlignment="1">
      <alignment horizontal="center" wrapText="1"/>
    </xf>
    <xf numFmtId="0" fontId="19" fillId="15" borderId="3" xfId="0" applyFont="1" applyFill="1" applyBorder="1" applyAlignment="1">
      <alignment horizontal="center" wrapText="1"/>
    </xf>
    <xf numFmtId="0" fontId="20" fillId="15" borderId="1" xfId="0" applyFont="1" applyFill="1" applyBorder="1" applyAlignment="1">
      <alignment horizontal="center" wrapText="1"/>
    </xf>
    <xf numFmtId="0" fontId="20" fillId="15" borderId="3" xfId="0" applyFont="1" applyFill="1" applyBorder="1" applyAlignment="1">
      <alignment horizont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6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4" fontId="12" fillId="16" borderId="34" xfId="4" applyFont="1" applyFill="1" applyBorder="1" applyAlignment="1">
      <alignment horizontal="center" wrapText="1"/>
    </xf>
    <xf numFmtId="44" fontId="12" fillId="0" borderId="36" xfId="1" applyFont="1" applyBorder="1" applyAlignment="1">
      <alignment horizontal="center" wrapText="1"/>
    </xf>
    <xf numFmtId="44" fontId="12" fillId="16" borderId="39" xfId="4" applyFont="1" applyFill="1" applyBorder="1" applyAlignment="1">
      <alignment horizontal="center" wrapText="1"/>
    </xf>
    <xf numFmtId="44" fontId="12" fillId="0" borderId="36" xfId="4" applyFont="1" applyBorder="1" applyAlignment="1">
      <alignment horizontal="center" wrapText="1"/>
    </xf>
    <xf numFmtId="44" fontId="12" fillId="16" borderId="19" xfId="4" applyFont="1" applyFill="1" applyBorder="1" applyAlignment="1">
      <alignment horizontal="center" wrapText="1"/>
    </xf>
    <xf numFmtId="0" fontId="20" fillId="15" borderId="2" xfId="0" applyFont="1" applyFill="1" applyBorder="1" applyAlignment="1">
      <alignment horizontal="center" wrapText="1"/>
    </xf>
    <xf numFmtId="164" fontId="3" fillId="16" borderId="9" xfId="0" applyNumberFormat="1" applyFont="1" applyFill="1" applyBorder="1" applyAlignment="1">
      <alignment horizontal="center" vertical="center" wrapText="1"/>
    </xf>
    <xf numFmtId="164" fontId="3" fillId="16" borderId="11" xfId="0" applyNumberFormat="1" applyFont="1" applyFill="1" applyBorder="1" applyAlignment="1">
      <alignment horizontal="center" vertical="center" wrapText="1"/>
    </xf>
  </cellXfs>
  <cellStyles count="5">
    <cellStyle name="Currency" xfId="1" builtinId="4"/>
    <cellStyle name="Currency 2" xfId="4" xr:uid="{B97B211E-7332-2742-8B9A-632AB96AC0A1}"/>
    <cellStyle name="Normal" xfId="0" builtinId="0"/>
    <cellStyle name="Percent" xfId="2" builtinId="5"/>
    <cellStyle name="Percent 2" xfId="3" xr:uid="{88A13867-8611-3542-ADF7-FE1626A49468}"/>
  </cellStyles>
  <dxfs count="0"/>
  <tableStyles count="0" defaultTableStyle="TableStyleMedium2" defaultPivotStyle="PivotStyleLight16"/>
  <colors>
    <mruColors>
      <color rgb="FFFFD6E2"/>
      <color rgb="FFA61A2F"/>
      <color rgb="FFFDC8A4"/>
      <color rgb="FF056939"/>
      <color rgb="FFEC692B"/>
      <color rgb="FFFFB687"/>
      <color rgb="FFE3B68C"/>
      <color rgb="FFF7A806"/>
      <color rgb="FFFFF4C7"/>
      <color rgb="FFEEE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786696</xdr:colOff>
      <xdr:row>2</xdr:row>
      <xdr:rowOff>42333</xdr:rowOff>
    </xdr:from>
    <xdr:to>
      <xdr:col>2</xdr:col>
      <xdr:colOff>904263</xdr:colOff>
      <xdr:row>7</xdr:row>
      <xdr:rowOff>159631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C0E5C-FF40-2347-B725-30C67DCC4F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201" t="26619" r="18963" b="26847"/>
        <a:stretch/>
      </xdr:blipFill>
      <xdr:spPr>
        <a:xfrm>
          <a:off x="991307" y="465666"/>
          <a:ext cx="2100178" cy="124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1629833</xdr:colOff>
      <xdr:row>2</xdr:row>
      <xdr:rowOff>8895</xdr:rowOff>
    </xdr:from>
    <xdr:to>
      <xdr:col>2</xdr:col>
      <xdr:colOff>1891447</xdr:colOff>
      <xdr:row>7</xdr:row>
      <xdr:rowOff>211666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861A8-83D3-B647-8A76-64D8D637C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201" t="26619" r="18963" b="26847"/>
        <a:stretch/>
      </xdr:blipFill>
      <xdr:spPr>
        <a:xfrm>
          <a:off x="1834444" y="404006"/>
          <a:ext cx="2244225" cy="1331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786696</xdr:colOff>
      <xdr:row>2</xdr:row>
      <xdr:rowOff>42333</xdr:rowOff>
    </xdr:from>
    <xdr:to>
      <xdr:col>2</xdr:col>
      <xdr:colOff>904263</xdr:colOff>
      <xdr:row>7</xdr:row>
      <xdr:rowOff>159631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7B591-6E07-A34F-A293-9DBFB0549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201" t="26619" r="18963" b="26847"/>
        <a:stretch/>
      </xdr:blipFill>
      <xdr:spPr>
        <a:xfrm>
          <a:off x="989896" y="448733"/>
          <a:ext cx="2098767" cy="1234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786696</xdr:colOff>
      <xdr:row>2</xdr:row>
      <xdr:rowOff>42333</xdr:rowOff>
    </xdr:from>
    <xdr:to>
      <xdr:col>2</xdr:col>
      <xdr:colOff>904263</xdr:colOff>
      <xdr:row>7</xdr:row>
      <xdr:rowOff>159631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00257-0D8D-2642-BAB8-A6ADDDAA9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201" t="26619" r="18963" b="26847"/>
        <a:stretch/>
      </xdr:blipFill>
      <xdr:spPr>
        <a:xfrm>
          <a:off x="989896" y="448733"/>
          <a:ext cx="2098767" cy="1234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9694-775A-1845-A560-019EFD8FFDE3}">
  <sheetPr codeName="Sheet1">
    <pageSetUpPr fitToPage="1"/>
  </sheetPr>
  <dimension ref="B2:O72"/>
  <sheetViews>
    <sheetView showGridLines="0" zoomScale="180" zoomScaleNormal="180" zoomScalePageLayoutView="80" workbookViewId="0"/>
  </sheetViews>
  <sheetFormatPr baseColWidth="10" defaultColWidth="10.83203125" defaultRowHeight="15"/>
  <cols>
    <col min="1" max="1" width="2.6640625" customWidth="1"/>
    <col min="2" max="3" width="26" style="1" customWidth="1"/>
    <col min="4" max="5" width="12.6640625" style="1" customWidth="1"/>
    <col min="6" max="6" width="23.1640625" style="1" customWidth="1"/>
    <col min="7" max="7" width="8.1640625" style="1" customWidth="1"/>
    <col min="8" max="8" width="6.33203125" customWidth="1"/>
    <col min="11" max="12" width="11.1640625" bestFit="1" customWidth="1"/>
    <col min="15" max="15" width="11.33203125" bestFit="1" customWidth="1"/>
  </cols>
  <sheetData>
    <row r="2" spans="2:14" s="2" customFormat="1" ht="17" customHeight="1">
      <c r="B2" s="37"/>
      <c r="C2" s="37"/>
      <c r="D2" s="37"/>
      <c r="E2" s="37"/>
      <c r="F2" s="37"/>
      <c r="G2" s="37"/>
    </row>
    <row r="3" spans="2:14" s="2" customFormat="1" ht="20">
      <c r="B3" s="37"/>
      <c r="C3" s="37"/>
      <c r="D3" s="37"/>
      <c r="E3" s="37"/>
      <c r="F3" s="45" t="s">
        <v>0</v>
      </c>
      <c r="G3" s="37"/>
    </row>
    <row r="4" spans="2:14" s="2" customFormat="1" ht="17" customHeight="1">
      <c r="B4" s="37"/>
      <c r="C4" s="37"/>
      <c r="D4" s="37"/>
      <c r="E4" s="37"/>
      <c r="F4" s="46" t="s">
        <v>1</v>
      </c>
      <c r="G4" s="37"/>
    </row>
    <row r="5" spans="2:14" s="2" customFormat="1" ht="17" customHeight="1">
      <c r="B5" s="37"/>
      <c r="C5" s="37"/>
      <c r="D5" s="37"/>
      <c r="E5" s="37"/>
      <c r="F5" s="46" t="s">
        <v>2</v>
      </c>
      <c r="G5" s="37"/>
    </row>
    <row r="6" spans="2:14" s="2" customFormat="1" ht="17">
      <c r="B6" s="37"/>
      <c r="C6" s="37"/>
      <c r="D6" s="37"/>
      <c r="E6" s="37"/>
      <c r="F6" s="46" t="s">
        <v>3</v>
      </c>
      <c r="G6" s="37"/>
    </row>
    <row r="7" spans="2:14" s="2" customFormat="1" ht="17">
      <c r="B7" s="37"/>
      <c r="C7" s="37"/>
      <c r="D7" s="37"/>
      <c r="E7" s="37"/>
      <c r="F7" s="47" t="s">
        <v>4</v>
      </c>
      <c r="G7" s="37"/>
    </row>
    <row r="8" spans="2:14" s="2" customFormat="1" ht="17">
      <c r="B8" s="38"/>
      <c r="C8" s="38"/>
      <c r="D8" s="38"/>
      <c r="E8" s="38"/>
      <c r="F8" s="46" t="s">
        <v>5</v>
      </c>
      <c r="G8" s="37"/>
    </row>
    <row r="9" spans="2:14" s="2" customFormat="1" ht="17" customHeight="1">
      <c r="B9" s="37"/>
      <c r="C9" s="37"/>
      <c r="D9" s="37"/>
      <c r="E9" s="37"/>
      <c r="F9" s="37"/>
      <c r="G9" s="37"/>
    </row>
    <row r="10" spans="2:14" s="2" customFormat="1" ht="28" customHeight="1">
      <c r="B10" s="133" t="s">
        <v>142</v>
      </c>
      <c r="C10" s="133"/>
      <c r="D10" s="133"/>
      <c r="E10" s="133"/>
      <c r="F10" s="133"/>
      <c r="G10" s="133"/>
      <c r="K10" s="3" t="s">
        <v>6</v>
      </c>
      <c r="L10" s="96">
        <v>7.0000000000000007E-2</v>
      </c>
    </row>
    <row r="11" spans="2:14" ht="10" customHeight="1">
      <c r="B11"/>
      <c r="C11"/>
      <c r="D11"/>
      <c r="E11"/>
      <c r="F11"/>
      <c r="G11"/>
    </row>
    <row r="12" spans="2:14" s="5" customFormat="1" ht="24" customHeight="1">
      <c r="B12" s="134" t="s">
        <v>7</v>
      </c>
      <c r="C12" s="134"/>
      <c r="D12" s="134"/>
      <c r="E12" s="134"/>
      <c r="F12" s="134"/>
      <c r="G12" s="134"/>
      <c r="I12" s="2"/>
    </row>
    <row r="13" spans="2:14" ht="10" customHeight="1" thickBot="1">
      <c r="B13"/>
      <c r="C13"/>
      <c r="D13"/>
      <c r="E13"/>
      <c r="F13"/>
      <c r="G13"/>
    </row>
    <row r="14" spans="2:14" s="5" customFormat="1" ht="22" customHeight="1" thickBot="1">
      <c r="B14" s="135" t="s">
        <v>8</v>
      </c>
      <c r="C14" s="136"/>
      <c r="D14" s="136"/>
      <c r="E14" s="136"/>
      <c r="F14" s="136"/>
      <c r="G14" s="137"/>
      <c r="I14" s="2"/>
    </row>
    <row r="15" spans="2:14" s="7" customFormat="1" ht="30" customHeight="1" thickBot="1">
      <c r="B15" s="138" t="s">
        <v>9</v>
      </c>
      <c r="C15" s="139"/>
      <c r="D15" s="34" t="s">
        <v>10</v>
      </c>
      <c r="E15" s="34" t="s">
        <v>11</v>
      </c>
      <c r="F15" s="140" t="s">
        <v>12</v>
      </c>
      <c r="G15" s="141"/>
      <c r="I15" s="2"/>
      <c r="K15" s="34" t="s">
        <v>10</v>
      </c>
      <c r="L15" s="34" t="s">
        <v>11</v>
      </c>
    </row>
    <row r="16" spans="2:14" s="7" customFormat="1" ht="32">
      <c r="B16" s="14" t="s">
        <v>13</v>
      </c>
      <c r="C16" s="15" t="s">
        <v>14</v>
      </c>
      <c r="D16" s="142">
        <f>K16*(1+$L$10)</f>
        <v>5350</v>
      </c>
      <c r="E16" s="142">
        <f t="shared" ref="E16" si="0">L16*(1+$L$10)</f>
        <v>9095</v>
      </c>
      <c r="F16" s="144" t="s">
        <v>15</v>
      </c>
      <c r="G16" s="145"/>
      <c r="I16" s="2"/>
      <c r="K16" s="142">
        <v>5000</v>
      </c>
      <c r="L16" s="142">
        <f>L24</f>
        <v>8500</v>
      </c>
      <c r="N16" s="8">
        <v>0</v>
      </c>
    </row>
    <row r="17" spans="2:15" s="7" customFormat="1" ht="33" thickBot="1">
      <c r="B17" s="16" t="s">
        <v>14</v>
      </c>
      <c r="C17" s="17" t="s">
        <v>13</v>
      </c>
      <c r="D17" s="143"/>
      <c r="E17" s="143"/>
      <c r="F17" s="146"/>
      <c r="G17" s="147"/>
      <c r="I17" s="2"/>
      <c r="K17" s="143"/>
      <c r="L17" s="143"/>
    </row>
    <row r="18" spans="2:15" s="7" customFormat="1" ht="32">
      <c r="B18" s="9" t="s">
        <v>16</v>
      </c>
      <c r="C18" s="10" t="s">
        <v>14</v>
      </c>
      <c r="D18" s="148">
        <f t="shared" ref="D18" si="1">K18*(1+$L$10)</f>
        <v>5350</v>
      </c>
      <c r="E18" s="148">
        <f t="shared" ref="E18" si="2">L18*(1+$L$10)</f>
        <v>9095</v>
      </c>
      <c r="F18" s="150" t="s">
        <v>17</v>
      </c>
      <c r="G18" s="151"/>
      <c r="I18" s="2"/>
      <c r="K18" s="148">
        <v>5000</v>
      </c>
      <c r="L18" s="148">
        <f>L24</f>
        <v>8500</v>
      </c>
      <c r="O18" s="11"/>
    </row>
    <row r="19" spans="2:15" s="7" customFormat="1" ht="33" thickBot="1">
      <c r="B19" s="12" t="s">
        <v>14</v>
      </c>
      <c r="C19" s="13" t="s">
        <v>16</v>
      </c>
      <c r="D19" s="149"/>
      <c r="E19" s="149"/>
      <c r="F19" s="152"/>
      <c r="G19" s="153"/>
      <c r="I19" s="2"/>
      <c r="K19" s="149"/>
      <c r="L19" s="149"/>
    </row>
    <row r="20" spans="2:15" s="7" customFormat="1" ht="32" customHeight="1">
      <c r="B20" s="14" t="s">
        <v>18</v>
      </c>
      <c r="C20" s="15" t="s">
        <v>14</v>
      </c>
      <c r="D20" s="142">
        <f t="shared" ref="D20" si="3">K20*(1+$L$10)</f>
        <v>1926</v>
      </c>
      <c r="E20" s="142">
        <f t="shared" ref="E20" si="4">L20*(1+$L$10)</f>
        <v>5350</v>
      </c>
      <c r="F20" s="144" t="s">
        <v>17</v>
      </c>
      <c r="G20" s="145"/>
      <c r="I20" s="2"/>
      <c r="K20" s="142">
        <v>1800</v>
      </c>
      <c r="L20" s="142">
        <v>5000</v>
      </c>
      <c r="N20" s="8"/>
    </row>
    <row r="21" spans="2:15" s="7" customFormat="1" ht="33" thickBot="1">
      <c r="B21" s="16" t="s">
        <v>14</v>
      </c>
      <c r="C21" s="17" t="s">
        <v>18</v>
      </c>
      <c r="D21" s="143"/>
      <c r="E21" s="143"/>
      <c r="F21" s="146"/>
      <c r="G21" s="147"/>
      <c r="I21" s="2"/>
      <c r="K21" s="143"/>
      <c r="L21" s="143"/>
    </row>
    <row r="22" spans="2:15" s="7" customFormat="1" ht="32" customHeight="1">
      <c r="B22" s="9" t="s">
        <v>19</v>
      </c>
      <c r="C22" s="10" t="s">
        <v>14</v>
      </c>
      <c r="D22" s="148">
        <f t="shared" ref="D22" si="5">K22*(1+$L$10)</f>
        <v>6420</v>
      </c>
      <c r="E22" s="148">
        <f t="shared" ref="E22" si="6">L22*(1+$L$10)</f>
        <v>13642.5</v>
      </c>
      <c r="F22" s="150" t="s">
        <v>17</v>
      </c>
      <c r="G22" s="151"/>
      <c r="I22" s="2"/>
      <c r="K22" s="148">
        <v>6000</v>
      </c>
      <c r="L22" s="148">
        <f>L24*1*(1+50%)</f>
        <v>12750</v>
      </c>
      <c r="O22" s="11"/>
    </row>
    <row r="23" spans="2:15" s="7" customFormat="1" ht="33" thickBot="1">
      <c r="B23" s="12" t="s">
        <v>14</v>
      </c>
      <c r="C23" s="13" t="s">
        <v>19</v>
      </c>
      <c r="D23" s="149"/>
      <c r="E23" s="149"/>
      <c r="F23" s="152"/>
      <c r="G23" s="153"/>
      <c r="I23" s="2"/>
      <c r="K23" s="149"/>
      <c r="L23" s="149"/>
    </row>
    <row r="24" spans="2:15" s="7" customFormat="1" ht="32" customHeight="1">
      <c r="B24" s="14" t="s">
        <v>20</v>
      </c>
      <c r="C24" s="15" t="s">
        <v>14</v>
      </c>
      <c r="D24" s="142">
        <f t="shared" ref="D24" si="7">K24*(1+$L$10)</f>
        <v>5350</v>
      </c>
      <c r="E24" s="142">
        <f t="shared" ref="E24" si="8">L24*(1+$L$10)</f>
        <v>9095</v>
      </c>
      <c r="F24" s="144" t="s">
        <v>17</v>
      </c>
      <c r="G24" s="145"/>
      <c r="I24" s="2"/>
      <c r="K24" s="142">
        <v>5000</v>
      </c>
      <c r="L24" s="142">
        <v>8500</v>
      </c>
      <c r="N24" s="8"/>
    </row>
    <row r="25" spans="2:15" s="7" customFormat="1" ht="33" thickBot="1">
      <c r="B25" s="16" t="s">
        <v>14</v>
      </c>
      <c r="C25" s="17" t="s">
        <v>20</v>
      </c>
      <c r="D25" s="143"/>
      <c r="E25" s="143"/>
      <c r="F25" s="146"/>
      <c r="G25" s="147"/>
      <c r="I25" s="2"/>
      <c r="K25" s="143"/>
      <c r="L25" s="143"/>
    </row>
    <row r="26" spans="2:15" s="7" customFormat="1" ht="32" customHeight="1">
      <c r="B26" s="9" t="s">
        <v>21</v>
      </c>
      <c r="C26" s="10" t="s">
        <v>14</v>
      </c>
      <c r="D26" s="148">
        <f t="shared" ref="D26" si="9">K26*(1+$L$10)</f>
        <v>5350</v>
      </c>
      <c r="E26" s="148">
        <f t="shared" ref="E26" si="10">L26*(1+$L$10)</f>
        <v>9095</v>
      </c>
      <c r="F26" s="150" t="s">
        <v>17</v>
      </c>
      <c r="G26" s="151"/>
      <c r="I26" s="2"/>
      <c r="K26" s="148">
        <v>5000</v>
      </c>
      <c r="L26" s="148">
        <v>8500</v>
      </c>
      <c r="O26" s="11"/>
    </row>
    <row r="27" spans="2:15" s="7" customFormat="1" ht="33" thickBot="1">
      <c r="B27" s="12" t="s">
        <v>14</v>
      </c>
      <c r="C27" s="13" t="s">
        <v>21</v>
      </c>
      <c r="D27" s="149"/>
      <c r="E27" s="149"/>
      <c r="F27" s="152"/>
      <c r="G27" s="153"/>
      <c r="I27" s="2"/>
      <c r="K27" s="149"/>
      <c r="L27" s="149"/>
    </row>
    <row r="28" spans="2:15" s="7" customFormat="1" ht="32" customHeight="1">
      <c r="B28" s="14" t="s">
        <v>22</v>
      </c>
      <c r="C28" s="15" t="s">
        <v>14</v>
      </c>
      <c r="D28" s="142">
        <f t="shared" ref="D28" si="11">K28*(1+$L$10)</f>
        <v>1926</v>
      </c>
      <c r="E28" s="142">
        <f t="shared" ref="E28" si="12">L28*(1+$L$10)</f>
        <v>5350</v>
      </c>
      <c r="F28" s="144" t="s">
        <v>17</v>
      </c>
      <c r="G28" s="145"/>
      <c r="I28" s="2"/>
      <c r="K28" s="142">
        <v>1800</v>
      </c>
      <c r="L28" s="142">
        <f>L20</f>
        <v>5000</v>
      </c>
      <c r="N28" s="8"/>
    </row>
    <row r="29" spans="2:15" s="7" customFormat="1" ht="33" thickBot="1">
      <c r="B29" s="16" t="s">
        <v>14</v>
      </c>
      <c r="C29" s="17" t="s">
        <v>22</v>
      </c>
      <c r="D29" s="143"/>
      <c r="E29" s="143"/>
      <c r="F29" s="146"/>
      <c r="G29" s="147"/>
      <c r="I29" s="2"/>
      <c r="K29" s="143"/>
      <c r="L29" s="143"/>
    </row>
    <row r="30" spans="2:15" s="7" customFormat="1" ht="32" customHeight="1">
      <c r="B30" s="9" t="s">
        <v>23</v>
      </c>
      <c r="C30" s="10" t="s">
        <v>14</v>
      </c>
      <c r="D30" s="148">
        <f t="shared" ref="D30" si="13">K30*(1+$L$10)</f>
        <v>2675</v>
      </c>
      <c r="E30" s="148">
        <f t="shared" ref="E30" si="14">L30*(1+$L$10)</f>
        <v>6821.25</v>
      </c>
      <c r="F30" s="150" t="s">
        <v>17</v>
      </c>
      <c r="G30" s="151"/>
      <c r="I30" s="2"/>
      <c r="K30" s="148">
        <v>2500</v>
      </c>
      <c r="L30" s="148">
        <f>L26*(1-25%)</f>
        <v>6375</v>
      </c>
      <c r="O30" s="11"/>
    </row>
    <row r="31" spans="2:15" s="7" customFormat="1" ht="33" thickBot="1">
      <c r="B31" s="12" t="s">
        <v>14</v>
      </c>
      <c r="C31" s="13" t="s">
        <v>23</v>
      </c>
      <c r="D31" s="149"/>
      <c r="E31" s="149"/>
      <c r="F31" s="152"/>
      <c r="G31" s="153"/>
      <c r="I31" s="2"/>
      <c r="K31" s="149"/>
      <c r="L31" s="149"/>
    </row>
    <row r="32" spans="2:15" s="7" customFormat="1" ht="32">
      <c r="B32" s="14" t="s">
        <v>24</v>
      </c>
      <c r="C32" s="15" t="s">
        <v>14</v>
      </c>
      <c r="D32" s="154">
        <f t="shared" ref="D32" si="15">K32*(1+$L$10)</f>
        <v>5350</v>
      </c>
      <c r="E32" s="154">
        <f t="shared" ref="E32" si="16">L32*(1+$L$10)</f>
        <v>9630</v>
      </c>
      <c r="F32" s="144" t="s">
        <v>17</v>
      </c>
      <c r="G32" s="145"/>
      <c r="I32" s="2"/>
      <c r="K32" s="154">
        <v>5000</v>
      </c>
      <c r="L32" s="154">
        <v>9000</v>
      </c>
    </row>
    <row r="33" spans="2:12" s="7" customFormat="1" ht="33" thickBot="1">
      <c r="B33" s="16" t="s">
        <v>14</v>
      </c>
      <c r="C33" s="17" t="s">
        <v>24</v>
      </c>
      <c r="D33" s="155"/>
      <c r="E33" s="155"/>
      <c r="F33" s="146"/>
      <c r="G33" s="147"/>
      <c r="I33" s="2"/>
      <c r="K33" s="155"/>
      <c r="L33" s="155"/>
    </row>
    <row r="34" spans="2:12" ht="123" customHeight="1" thickBot="1">
      <c r="B34"/>
      <c r="C34"/>
      <c r="D34"/>
      <c r="E34"/>
      <c r="F34"/>
      <c r="G34"/>
    </row>
    <row r="35" spans="2:12" ht="24" customHeight="1" thickBot="1">
      <c r="B35" s="156" t="s">
        <v>25</v>
      </c>
      <c r="C35" s="157"/>
      <c r="D35" s="157"/>
      <c r="E35" s="157"/>
      <c r="F35" s="157"/>
      <c r="G35" s="158"/>
    </row>
    <row r="36" spans="2:12" s="7" customFormat="1" ht="30" customHeight="1" thickBot="1">
      <c r="B36" s="138" t="s">
        <v>9</v>
      </c>
      <c r="C36" s="139"/>
      <c r="D36" s="34" t="s">
        <v>10</v>
      </c>
      <c r="E36" s="34" t="s">
        <v>11</v>
      </c>
      <c r="F36" s="140" t="s">
        <v>12</v>
      </c>
      <c r="G36" s="141"/>
      <c r="I36" s="2"/>
      <c r="K36" s="34" t="s">
        <v>10</v>
      </c>
      <c r="L36" s="34" t="s">
        <v>11</v>
      </c>
    </row>
    <row r="37" spans="2:12" s="7" customFormat="1" ht="24" customHeight="1">
      <c r="B37" s="14" t="s">
        <v>26</v>
      </c>
      <c r="C37" s="15" t="s">
        <v>14</v>
      </c>
      <c r="D37" s="154">
        <f t="shared" ref="D37:E65" si="17">K37*(1+$L$10)</f>
        <v>5350</v>
      </c>
      <c r="E37" s="154">
        <f t="shared" si="17"/>
        <v>9095</v>
      </c>
      <c r="F37" s="144" t="s">
        <v>27</v>
      </c>
      <c r="G37" s="145"/>
      <c r="I37" s="2"/>
      <c r="K37" s="154">
        <v>5000</v>
      </c>
      <c r="L37" s="154">
        <f>L16</f>
        <v>8500</v>
      </c>
    </row>
    <row r="38" spans="2:12" s="7" customFormat="1" ht="24" customHeight="1" thickBot="1">
      <c r="B38" s="16" t="s">
        <v>14</v>
      </c>
      <c r="C38" s="17" t="s">
        <v>26</v>
      </c>
      <c r="D38" s="155"/>
      <c r="E38" s="155"/>
      <c r="F38" s="146"/>
      <c r="G38" s="147"/>
      <c r="I38" s="2"/>
      <c r="K38" s="155"/>
      <c r="L38" s="155"/>
    </row>
    <row r="39" spans="2:12" s="7" customFormat="1" ht="24" customHeight="1">
      <c r="B39" s="9" t="s">
        <v>28</v>
      </c>
      <c r="C39" s="10" t="s">
        <v>14</v>
      </c>
      <c r="D39" s="159">
        <f t="shared" ref="D39" si="18">K39*(1+$L$10)</f>
        <v>2675</v>
      </c>
      <c r="E39" s="148">
        <f t="shared" si="17"/>
        <v>6420</v>
      </c>
      <c r="F39" s="150" t="s">
        <v>29</v>
      </c>
      <c r="G39" s="151"/>
      <c r="I39" s="2"/>
      <c r="K39" s="159">
        <v>2500</v>
      </c>
      <c r="L39" s="148">
        <f>L20+1000</f>
        <v>6000</v>
      </c>
    </row>
    <row r="40" spans="2:12" s="7" customFormat="1" ht="24" customHeight="1" thickBot="1">
      <c r="B40" s="12" t="s">
        <v>14</v>
      </c>
      <c r="C40" s="13" t="s">
        <v>28</v>
      </c>
      <c r="D40" s="160"/>
      <c r="E40" s="149"/>
      <c r="F40" s="152"/>
      <c r="G40" s="153"/>
      <c r="I40" s="2"/>
      <c r="K40" s="160"/>
      <c r="L40" s="149"/>
    </row>
    <row r="41" spans="2:12" s="7" customFormat="1" ht="32" customHeight="1">
      <c r="B41" s="14" t="s">
        <v>30</v>
      </c>
      <c r="C41" s="15" t="s">
        <v>14</v>
      </c>
      <c r="D41" s="154">
        <f t="shared" ref="D41" si="19">K41*(1+$L$10)</f>
        <v>5350</v>
      </c>
      <c r="E41" s="154">
        <f t="shared" si="17"/>
        <v>9095</v>
      </c>
      <c r="F41" s="144" t="s">
        <v>31</v>
      </c>
      <c r="G41" s="145"/>
      <c r="I41" s="2"/>
      <c r="K41" s="154">
        <v>5000</v>
      </c>
      <c r="L41" s="154">
        <f>L24</f>
        <v>8500</v>
      </c>
    </row>
    <row r="42" spans="2:12" s="7" customFormat="1" ht="33" thickBot="1">
      <c r="B42" s="16" t="s">
        <v>14</v>
      </c>
      <c r="C42" s="17" t="s">
        <v>30</v>
      </c>
      <c r="D42" s="155"/>
      <c r="E42" s="155"/>
      <c r="F42" s="146"/>
      <c r="G42" s="147"/>
      <c r="I42" s="2"/>
      <c r="K42" s="155"/>
      <c r="L42" s="155"/>
    </row>
    <row r="43" spans="2:12" s="7" customFormat="1" ht="32" customHeight="1">
      <c r="B43" s="9" t="s">
        <v>32</v>
      </c>
      <c r="C43" s="10" t="s">
        <v>14</v>
      </c>
      <c r="D43" s="159">
        <f t="shared" ref="D43" si="20">K43*(1+$L$10)</f>
        <v>6420</v>
      </c>
      <c r="E43" s="148">
        <f t="shared" si="17"/>
        <v>10165</v>
      </c>
      <c r="F43" s="150" t="s">
        <v>33</v>
      </c>
      <c r="G43" s="151"/>
      <c r="I43" s="2"/>
      <c r="K43" s="159">
        <v>6000</v>
      </c>
      <c r="L43" s="148">
        <v>9500</v>
      </c>
    </row>
    <row r="44" spans="2:12" s="7" customFormat="1" ht="33" thickBot="1">
      <c r="B44" s="12" t="s">
        <v>14</v>
      </c>
      <c r="C44" s="13" t="s">
        <v>32</v>
      </c>
      <c r="D44" s="160"/>
      <c r="E44" s="149"/>
      <c r="F44" s="152"/>
      <c r="G44" s="153"/>
      <c r="I44" s="2"/>
      <c r="K44" s="160"/>
      <c r="L44" s="149"/>
    </row>
    <row r="45" spans="2:12" s="7" customFormat="1" ht="24" customHeight="1">
      <c r="B45" s="14" t="s">
        <v>34</v>
      </c>
      <c r="C45" s="15" t="s">
        <v>14</v>
      </c>
      <c r="D45" s="154">
        <f t="shared" ref="D45" si="21">K45*(1+$L$10)</f>
        <v>8560</v>
      </c>
      <c r="E45" s="154">
        <f t="shared" si="17"/>
        <v>14177.5</v>
      </c>
      <c r="F45" s="144" t="s">
        <v>35</v>
      </c>
      <c r="G45" s="145"/>
      <c r="H45" s="11"/>
      <c r="I45" s="2"/>
      <c r="K45" s="154">
        <v>8000</v>
      </c>
      <c r="L45" s="154">
        <v>13250</v>
      </c>
    </row>
    <row r="46" spans="2:12" s="7" customFormat="1" ht="24" customHeight="1" thickBot="1">
      <c r="B46" s="16" t="s">
        <v>14</v>
      </c>
      <c r="C46" s="17" t="s">
        <v>34</v>
      </c>
      <c r="D46" s="155"/>
      <c r="E46" s="155"/>
      <c r="F46" s="146"/>
      <c r="G46" s="147"/>
      <c r="I46" s="2"/>
      <c r="K46" s="155"/>
      <c r="L46" s="155"/>
    </row>
    <row r="47" spans="2:12" s="7" customFormat="1" ht="24" customHeight="1">
      <c r="B47" s="9" t="s">
        <v>36</v>
      </c>
      <c r="C47" s="10" t="s">
        <v>14</v>
      </c>
      <c r="D47" s="159">
        <f t="shared" ref="D47" si="22">K47*(1+$L$10)</f>
        <v>1070</v>
      </c>
      <c r="E47" s="148">
        <f>L47*(1+$L$10)</f>
        <v>4815</v>
      </c>
      <c r="F47" s="150" t="s">
        <v>37</v>
      </c>
      <c r="G47" s="151"/>
      <c r="I47" s="2"/>
      <c r="K47" s="159">
        <v>1000</v>
      </c>
      <c r="L47" s="148">
        <f>L20*(1-10%)</f>
        <v>4500</v>
      </c>
    </row>
    <row r="48" spans="2:12" s="7" customFormat="1" ht="24" customHeight="1" thickBot="1">
      <c r="B48" s="12" t="s">
        <v>14</v>
      </c>
      <c r="C48" s="13" t="s">
        <v>36</v>
      </c>
      <c r="D48" s="160"/>
      <c r="E48" s="149"/>
      <c r="F48" s="152"/>
      <c r="G48" s="153"/>
      <c r="I48" s="2"/>
      <c r="K48" s="160"/>
      <c r="L48" s="149"/>
    </row>
    <row r="49" spans="2:12" s="7" customFormat="1" ht="24" customHeight="1">
      <c r="B49" s="14" t="s">
        <v>38</v>
      </c>
      <c r="C49" s="15" t="s">
        <v>14</v>
      </c>
      <c r="D49" s="154">
        <f t="shared" ref="D49" si="23">K49*(1+$L$10)</f>
        <v>5350</v>
      </c>
      <c r="E49" s="154">
        <f t="shared" si="17"/>
        <v>9095</v>
      </c>
      <c r="F49" s="144" t="s">
        <v>39</v>
      </c>
      <c r="G49" s="145"/>
      <c r="I49" s="2"/>
      <c r="K49" s="154">
        <v>5000</v>
      </c>
      <c r="L49" s="154">
        <f>L41</f>
        <v>8500</v>
      </c>
    </row>
    <row r="50" spans="2:12" s="7" customFormat="1" ht="24" customHeight="1" thickBot="1">
      <c r="B50" s="16" t="s">
        <v>14</v>
      </c>
      <c r="C50" s="17" t="s">
        <v>38</v>
      </c>
      <c r="D50" s="155"/>
      <c r="E50" s="155"/>
      <c r="F50" s="146"/>
      <c r="G50" s="147"/>
      <c r="I50" s="2"/>
      <c r="K50" s="155"/>
      <c r="L50" s="155"/>
    </row>
    <row r="51" spans="2:12" s="7" customFormat="1" ht="24" customHeight="1">
      <c r="B51" s="9" t="s">
        <v>40</v>
      </c>
      <c r="C51" s="10" t="s">
        <v>14</v>
      </c>
      <c r="D51" s="159">
        <f t="shared" ref="D51" si="24">K51*(1+$L$10)</f>
        <v>6955</v>
      </c>
      <c r="E51" s="148">
        <f t="shared" si="17"/>
        <v>13642.5</v>
      </c>
      <c r="F51" s="150" t="s">
        <v>41</v>
      </c>
      <c r="G51" s="151"/>
      <c r="I51" s="2"/>
      <c r="K51" s="159">
        <v>6500</v>
      </c>
      <c r="L51" s="148">
        <f>L22</f>
        <v>12750</v>
      </c>
    </row>
    <row r="52" spans="2:12" s="7" customFormat="1" ht="24" customHeight="1" thickBot="1">
      <c r="B52" s="12" t="s">
        <v>14</v>
      </c>
      <c r="C52" s="13" t="s">
        <v>40</v>
      </c>
      <c r="D52" s="160"/>
      <c r="E52" s="149"/>
      <c r="F52" s="152"/>
      <c r="G52" s="153"/>
      <c r="I52" s="2"/>
      <c r="K52" s="160"/>
      <c r="L52" s="149"/>
    </row>
    <row r="53" spans="2:12" s="7" customFormat="1" ht="24" customHeight="1">
      <c r="B53" s="14" t="s">
        <v>42</v>
      </c>
      <c r="C53" s="15" t="s">
        <v>14</v>
      </c>
      <c r="D53" s="154">
        <f t="shared" ref="D53" si="25">K53*(1+$L$10)</f>
        <v>2140</v>
      </c>
      <c r="E53" s="154">
        <f t="shared" si="17"/>
        <v>5350</v>
      </c>
      <c r="F53" s="144" t="s">
        <v>43</v>
      </c>
      <c r="G53" s="145"/>
      <c r="I53" s="2"/>
      <c r="K53" s="154">
        <v>2000</v>
      </c>
      <c r="L53" s="154">
        <f>L20</f>
        <v>5000</v>
      </c>
    </row>
    <row r="54" spans="2:12" s="7" customFormat="1" ht="24" customHeight="1" thickBot="1">
      <c r="B54" s="16" t="s">
        <v>14</v>
      </c>
      <c r="C54" s="17" t="s">
        <v>42</v>
      </c>
      <c r="D54" s="155"/>
      <c r="E54" s="155"/>
      <c r="F54" s="146"/>
      <c r="G54" s="147"/>
      <c r="I54" s="2"/>
      <c r="K54" s="155"/>
      <c r="L54" s="155"/>
    </row>
    <row r="55" spans="2:12" s="7" customFormat="1" ht="24" customHeight="1">
      <c r="B55" s="9" t="s">
        <v>44</v>
      </c>
      <c r="C55" s="10" t="s">
        <v>14</v>
      </c>
      <c r="D55" s="159">
        <f t="shared" ref="D55" si="26">K55*(1+$L$10)</f>
        <v>5350</v>
      </c>
      <c r="E55" s="148">
        <f t="shared" si="17"/>
        <v>9095</v>
      </c>
      <c r="F55" s="150" t="s">
        <v>45</v>
      </c>
      <c r="G55" s="151"/>
      <c r="I55" s="2"/>
      <c r="K55" s="159">
        <v>5000</v>
      </c>
      <c r="L55" s="148">
        <f>L41</f>
        <v>8500</v>
      </c>
    </row>
    <row r="56" spans="2:12" s="7" customFormat="1" ht="24" customHeight="1" thickBot="1">
      <c r="B56" s="12" t="s">
        <v>14</v>
      </c>
      <c r="C56" s="13" t="s">
        <v>44</v>
      </c>
      <c r="D56" s="160"/>
      <c r="E56" s="149"/>
      <c r="F56" s="152"/>
      <c r="G56" s="153"/>
      <c r="I56" s="2"/>
      <c r="K56" s="160"/>
      <c r="L56" s="149"/>
    </row>
    <row r="57" spans="2:12" s="7" customFormat="1" ht="24" customHeight="1">
      <c r="B57" s="14" t="s">
        <v>46</v>
      </c>
      <c r="C57" s="15" t="s">
        <v>14</v>
      </c>
      <c r="D57" s="154">
        <f t="shared" ref="D57" si="27">K57*(1+$L$10)</f>
        <v>8667</v>
      </c>
      <c r="E57" s="154">
        <f t="shared" si="17"/>
        <v>15006.750000000004</v>
      </c>
      <c r="F57" s="144" t="s">
        <v>47</v>
      </c>
      <c r="G57" s="145"/>
      <c r="I57" s="2"/>
      <c r="K57" s="154">
        <v>8100</v>
      </c>
      <c r="L57" s="154">
        <f>L51*(1+10%)</f>
        <v>14025.000000000002</v>
      </c>
    </row>
    <row r="58" spans="2:12" s="7" customFormat="1" ht="24" customHeight="1" thickBot="1">
      <c r="B58" s="16" t="s">
        <v>14</v>
      </c>
      <c r="C58" s="17" t="s">
        <v>46</v>
      </c>
      <c r="D58" s="155"/>
      <c r="E58" s="155"/>
      <c r="F58" s="146"/>
      <c r="G58" s="147"/>
      <c r="I58" s="2"/>
      <c r="K58" s="155"/>
      <c r="L58" s="155"/>
    </row>
    <row r="59" spans="2:12" s="7" customFormat="1" ht="24" customHeight="1">
      <c r="B59" s="9" t="s">
        <v>48</v>
      </c>
      <c r="C59" s="10" t="s">
        <v>14</v>
      </c>
      <c r="D59" s="159">
        <f t="shared" ref="D59" si="28">K59*(1+$L$10)</f>
        <v>2140</v>
      </c>
      <c r="E59" s="148">
        <f t="shared" si="17"/>
        <v>5350</v>
      </c>
      <c r="F59" s="150" t="s">
        <v>49</v>
      </c>
      <c r="G59" s="151"/>
      <c r="I59" s="2"/>
      <c r="K59" s="159">
        <v>2000</v>
      </c>
      <c r="L59" s="148">
        <f>L28</f>
        <v>5000</v>
      </c>
    </row>
    <row r="60" spans="2:12" s="7" customFormat="1" ht="24" customHeight="1" thickBot="1">
      <c r="B60" s="12" t="s">
        <v>14</v>
      </c>
      <c r="C60" s="13" t="s">
        <v>48</v>
      </c>
      <c r="D60" s="160"/>
      <c r="E60" s="149"/>
      <c r="F60" s="152"/>
      <c r="G60" s="153"/>
      <c r="I60" s="2"/>
      <c r="K60" s="160"/>
      <c r="L60" s="149"/>
    </row>
    <row r="61" spans="2:12" s="7" customFormat="1" ht="24" customHeight="1">
      <c r="B61" s="14" t="s">
        <v>50</v>
      </c>
      <c r="C61" s="15" t="s">
        <v>14</v>
      </c>
      <c r="D61" s="154">
        <f t="shared" ref="D61" si="29">K61*(1+$L$10)</f>
        <v>2675</v>
      </c>
      <c r="E61" s="154">
        <f t="shared" si="17"/>
        <v>6687.5</v>
      </c>
      <c r="F61" s="144" t="s">
        <v>51</v>
      </c>
      <c r="G61" s="145"/>
      <c r="I61" s="2"/>
      <c r="K61" s="154">
        <v>2500</v>
      </c>
      <c r="L61" s="154">
        <f>L59*(1+25%)</f>
        <v>6250</v>
      </c>
    </row>
    <row r="62" spans="2:12" s="7" customFormat="1" ht="24" customHeight="1" thickBot="1">
      <c r="B62" s="16" t="s">
        <v>14</v>
      </c>
      <c r="C62" s="17" t="s">
        <v>50</v>
      </c>
      <c r="D62" s="155"/>
      <c r="E62" s="155"/>
      <c r="F62" s="146"/>
      <c r="G62" s="147"/>
      <c r="I62" s="2"/>
      <c r="K62" s="155"/>
      <c r="L62" s="155"/>
    </row>
    <row r="63" spans="2:12" s="7" customFormat="1" ht="24" customHeight="1">
      <c r="B63" s="9" t="s">
        <v>52</v>
      </c>
      <c r="C63" s="10" t="s">
        <v>14</v>
      </c>
      <c r="D63" s="159">
        <f t="shared" ref="D63" si="30">K63*(1+$L$10)</f>
        <v>3210</v>
      </c>
      <c r="E63" s="148">
        <f t="shared" si="17"/>
        <v>6821.25</v>
      </c>
      <c r="F63" s="150" t="s">
        <v>53</v>
      </c>
      <c r="G63" s="151"/>
      <c r="I63" s="2"/>
      <c r="K63" s="159">
        <v>3000</v>
      </c>
      <c r="L63" s="148">
        <f>L30</f>
        <v>6375</v>
      </c>
    </row>
    <row r="64" spans="2:12" s="7" customFormat="1" ht="24" customHeight="1" thickBot="1">
      <c r="B64" s="12" t="s">
        <v>14</v>
      </c>
      <c r="C64" s="13" t="s">
        <v>52</v>
      </c>
      <c r="D64" s="160"/>
      <c r="E64" s="149"/>
      <c r="F64" s="152"/>
      <c r="G64" s="153"/>
      <c r="I64" s="2"/>
      <c r="K64" s="160"/>
      <c r="L64" s="149"/>
    </row>
    <row r="65" spans="2:12" s="7" customFormat="1" ht="24" customHeight="1">
      <c r="B65" s="14" t="s">
        <v>54</v>
      </c>
      <c r="C65" s="15" t="s">
        <v>14</v>
      </c>
      <c r="D65" s="154">
        <f t="shared" ref="D65" si="31">K65*(1+$L$10)</f>
        <v>8560</v>
      </c>
      <c r="E65" s="154">
        <f t="shared" si="17"/>
        <v>14177.5</v>
      </c>
      <c r="F65" s="144" t="s">
        <v>55</v>
      </c>
      <c r="G65" s="145"/>
      <c r="I65" s="2"/>
      <c r="K65" s="154">
        <v>8000</v>
      </c>
      <c r="L65" s="154">
        <f>L45</f>
        <v>13250</v>
      </c>
    </row>
    <row r="66" spans="2:12" s="7" customFormat="1" ht="24" customHeight="1" thickBot="1">
      <c r="B66" s="16" t="s">
        <v>14</v>
      </c>
      <c r="C66" s="17" t="s">
        <v>54</v>
      </c>
      <c r="D66" s="155"/>
      <c r="E66" s="155"/>
      <c r="F66" s="146"/>
      <c r="G66" s="147"/>
      <c r="I66" s="2"/>
      <c r="K66" s="155"/>
      <c r="L66" s="155"/>
    </row>
    <row r="67" spans="2:12" s="2" customFormat="1" ht="17" thickBot="1">
      <c r="B67" s="4"/>
      <c r="C67" s="4"/>
      <c r="D67" s="4"/>
      <c r="E67" s="4"/>
      <c r="F67" s="4"/>
      <c r="G67" s="4"/>
    </row>
    <row r="68" spans="2:12" s="7" customFormat="1" ht="17">
      <c r="B68" s="167" t="s">
        <v>56</v>
      </c>
      <c r="C68" s="168"/>
      <c r="D68" s="168"/>
      <c r="E68" s="168"/>
      <c r="F68" s="168"/>
      <c r="G68" s="169"/>
      <c r="I68" s="2"/>
    </row>
    <row r="69" spans="2:12" s="2" customFormat="1" ht="56" customHeight="1">
      <c r="B69" s="161" t="s">
        <v>115</v>
      </c>
      <c r="C69" s="162"/>
      <c r="D69" s="162"/>
      <c r="E69" s="162"/>
      <c r="F69" s="162"/>
      <c r="G69" s="163"/>
    </row>
    <row r="70" spans="2:12" s="2" customFormat="1" ht="52" customHeight="1" thickBot="1">
      <c r="B70" s="164" t="s">
        <v>141</v>
      </c>
      <c r="C70" s="165"/>
      <c r="D70" s="165"/>
      <c r="E70" s="165"/>
      <c r="F70" s="165"/>
      <c r="G70" s="166"/>
    </row>
    <row r="71" spans="2:12" s="2" customFormat="1" ht="16">
      <c r="B71" s="4"/>
      <c r="C71" s="4"/>
      <c r="D71" s="4"/>
      <c r="E71" s="4"/>
      <c r="F71" s="4"/>
      <c r="G71" s="4"/>
    </row>
    <row r="72" spans="2:12" s="2" customFormat="1" ht="17">
      <c r="B72" s="4"/>
      <c r="C72" s="4"/>
      <c r="D72" s="131">
        <v>450</v>
      </c>
      <c r="E72" s="4" t="s">
        <v>140</v>
      </c>
      <c r="F72" s="131">
        <f>D72*(1+L10)</f>
        <v>481.5</v>
      </c>
      <c r="G72" s="4"/>
    </row>
  </sheetData>
  <mergeCells count="131">
    <mergeCell ref="B69:G69"/>
    <mergeCell ref="B70:G70"/>
    <mergeCell ref="D65:D66"/>
    <mergeCell ref="E65:E66"/>
    <mergeCell ref="F65:G66"/>
    <mergeCell ref="K65:K66"/>
    <mergeCell ref="L65:L66"/>
    <mergeCell ref="B68:G68"/>
    <mergeCell ref="D61:D62"/>
    <mergeCell ref="E61:E62"/>
    <mergeCell ref="F61:G62"/>
    <mergeCell ref="K61:K62"/>
    <mergeCell ref="L61:L62"/>
    <mergeCell ref="D63:D64"/>
    <mergeCell ref="E63:E64"/>
    <mergeCell ref="F63:G64"/>
    <mergeCell ref="K63:K64"/>
    <mergeCell ref="L63:L64"/>
    <mergeCell ref="D57:D58"/>
    <mergeCell ref="E57:E58"/>
    <mergeCell ref="F57:G58"/>
    <mergeCell ref="K57:K58"/>
    <mergeCell ref="L57:L58"/>
    <mergeCell ref="D59:D60"/>
    <mergeCell ref="E59:E60"/>
    <mergeCell ref="F59:G60"/>
    <mergeCell ref="K59:K60"/>
    <mergeCell ref="L59:L60"/>
    <mergeCell ref="D53:D54"/>
    <mergeCell ref="E53:E54"/>
    <mergeCell ref="F53:G54"/>
    <mergeCell ref="K53:K54"/>
    <mergeCell ref="L53:L54"/>
    <mergeCell ref="D55:D56"/>
    <mergeCell ref="E55:E56"/>
    <mergeCell ref="F55:G56"/>
    <mergeCell ref="K55:K56"/>
    <mergeCell ref="L55:L56"/>
    <mergeCell ref="D49:D50"/>
    <mergeCell ref="E49:E50"/>
    <mergeCell ref="F49:G50"/>
    <mergeCell ref="K49:K50"/>
    <mergeCell ref="L49:L50"/>
    <mergeCell ref="D51:D52"/>
    <mergeCell ref="E51:E52"/>
    <mergeCell ref="F51:G52"/>
    <mergeCell ref="K51:K52"/>
    <mergeCell ref="L51:L52"/>
    <mergeCell ref="D45:D46"/>
    <mergeCell ref="E45:E46"/>
    <mergeCell ref="F45:G46"/>
    <mergeCell ref="K45:K46"/>
    <mergeCell ref="L45:L46"/>
    <mergeCell ref="D47:D48"/>
    <mergeCell ref="E47:E48"/>
    <mergeCell ref="F47:G48"/>
    <mergeCell ref="K47:K48"/>
    <mergeCell ref="L47:L48"/>
    <mergeCell ref="D41:D42"/>
    <mergeCell ref="E41:E42"/>
    <mergeCell ref="F41:G42"/>
    <mergeCell ref="K41:K42"/>
    <mergeCell ref="L41:L42"/>
    <mergeCell ref="D43:D44"/>
    <mergeCell ref="E43:E44"/>
    <mergeCell ref="F43:G44"/>
    <mergeCell ref="K43:K44"/>
    <mergeCell ref="L43:L44"/>
    <mergeCell ref="L37:L38"/>
    <mergeCell ref="D39:D40"/>
    <mergeCell ref="E39:E40"/>
    <mergeCell ref="F39:G40"/>
    <mergeCell ref="K39:K40"/>
    <mergeCell ref="L39:L40"/>
    <mergeCell ref="B36:C36"/>
    <mergeCell ref="F36:G36"/>
    <mergeCell ref="D37:D38"/>
    <mergeCell ref="E37:E38"/>
    <mergeCell ref="F37:G38"/>
    <mergeCell ref="K37:K38"/>
    <mergeCell ref="B35:G35"/>
    <mergeCell ref="D28:D29"/>
    <mergeCell ref="E28:E29"/>
    <mergeCell ref="F28:G29"/>
    <mergeCell ref="K28:K29"/>
    <mergeCell ref="L28:L29"/>
    <mergeCell ref="D30:D31"/>
    <mergeCell ref="E30:E31"/>
    <mergeCell ref="F30:G31"/>
    <mergeCell ref="K30:K31"/>
    <mergeCell ref="L30:L31"/>
    <mergeCell ref="D26:D27"/>
    <mergeCell ref="E26:E27"/>
    <mergeCell ref="F26:G27"/>
    <mergeCell ref="K26:K27"/>
    <mergeCell ref="L26:L27"/>
    <mergeCell ref="D32:D33"/>
    <mergeCell ref="E32:E33"/>
    <mergeCell ref="F32:G33"/>
    <mergeCell ref="K32:K33"/>
    <mergeCell ref="L32:L33"/>
    <mergeCell ref="D22:D23"/>
    <mergeCell ref="E22:E23"/>
    <mergeCell ref="F22:G23"/>
    <mergeCell ref="K22:K23"/>
    <mergeCell ref="L22:L23"/>
    <mergeCell ref="D24:D25"/>
    <mergeCell ref="E24:E25"/>
    <mergeCell ref="F24:G25"/>
    <mergeCell ref="K24:K25"/>
    <mergeCell ref="L24:L25"/>
    <mergeCell ref="L16:L17"/>
    <mergeCell ref="D18:D19"/>
    <mergeCell ref="E18:E19"/>
    <mergeCell ref="F18:G19"/>
    <mergeCell ref="K18:K19"/>
    <mergeCell ref="L18:L19"/>
    <mergeCell ref="D20:D21"/>
    <mergeCell ref="E20:E21"/>
    <mergeCell ref="F20:G21"/>
    <mergeCell ref="K20:K21"/>
    <mergeCell ref="L20:L21"/>
    <mergeCell ref="B10:G10"/>
    <mergeCell ref="B12:G12"/>
    <mergeCell ref="B14:G14"/>
    <mergeCell ref="B15:C15"/>
    <mergeCell ref="F15:G15"/>
    <mergeCell ref="D16:D17"/>
    <mergeCell ref="E16:E17"/>
    <mergeCell ref="F16:G17"/>
    <mergeCell ref="K16:K17"/>
  </mergeCells>
  <printOptions horizontalCentered="1"/>
  <pageMargins left="0.25" right="0.25" top="0.75" bottom="0.75" header="0.3" footer="0.3"/>
  <pageSetup scale="76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FEEC-DB80-6642-B3FF-06A69BD04837}">
  <sheetPr codeName="Sheet2">
    <pageSetUpPr fitToPage="1"/>
  </sheetPr>
  <dimension ref="B1:I53"/>
  <sheetViews>
    <sheetView showGridLines="0" zoomScale="190" zoomScaleNormal="190" zoomScalePageLayoutView="80" workbookViewId="0">
      <selection activeCell="E44" sqref="E44"/>
    </sheetView>
  </sheetViews>
  <sheetFormatPr baseColWidth="10" defaultColWidth="10.83203125" defaultRowHeight="16"/>
  <cols>
    <col min="1" max="1" width="3.1640625" style="2" customWidth="1"/>
    <col min="2" max="2" width="28.1640625" style="4" customWidth="1"/>
    <col min="3" max="4" width="13.33203125" style="4" customWidth="1"/>
    <col min="5" max="5" width="10.83203125" style="2"/>
    <col min="6" max="6" width="6.83203125" style="2" bestFit="1" customWidth="1"/>
    <col min="7" max="7" width="10.83203125" style="2"/>
    <col min="8" max="9" width="11" style="2" bestFit="1" customWidth="1"/>
    <col min="10" max="16384" width="10.83203125" style="2"/>
  </cols>
  <sheetData>
    <row r="1" spans="2:9" s="5" customFormat="1" ht="18" thickBot="1">
      <c r="B1" s="4"/>
      <c r="C1" s="2"/>
      <c r="D1" s="2"/>
    </row>
    <row r="2" spans="2:9" ht="20" thickBot="1">
      <c r="B2" s="156" t="s">
        <v>57</v>
      </c>
      <c r="C2" s="157"/>
      <c r="D2" s="158"/>
      <c r="H2" s="96">
        <v>7.0000000000000007E-2</v>
      </c>
    </row>
    <row r="3" spans="2:9" s="5" customFormat="1" ht="18" thickBot="1">
      <c r="B3" s="34" t="s">
        <v>58</v>
      </c>
      <c r="C3" s="54" t="s">
        <v>10</v>
      </c>
      <c r="D3" s="35" t="s">
        <v>11</v>
      </c>
      <c r="F3" s="18"/>
      <c r="H3" s="19" t="s">
        <v>10</v>
      </c>
      <c r="I3" s="20" t="s">
        <v>11</v>
      </c>
    </row>
    <row r="4" spans="2:9" s="7" customFormat="1" ht="17">
      <c r="B4" s="41" t="s">
        <v>61</v>
      </c>
      <c r="C4" s="72">
        <f>H4*(1+$H$2)</f>
        <v>428</v>
      </c>
      <c r="D4" s="68">
        <f t="shared" ref="D4:D44" si="0">I4*(1+$H$2)</f>
        <v>1765.5</v>
      </c>
      <c r="F4" s="21"/>
      <c r="G4" s="21"/>
      <c r="H4" s="50">
        <v>400</v>
      </c>
      <c r="I4" s="42">
        <v>1650</v>
      </c>
    </row>
    <row r="5" spans="2:9" s="7" customFormat="1" ht="17">
      <c r="B5" s="22" t="s">
        <v>114</v>
      </c>
      <c r="C5" s="73">
        <f t="shared" ref="C5:C44" si="1">H5*(1+$H$2)</f>
        <v>428</v>
      </c>
      <c r="D5" s="69">
        <f t="shared" si="0"/>
        <v>1765.5</v>
      </c>
      <c r="F5" s="21"/>
      <c r="G5" s="21"/>
      <c r="H5" s="51">
        <v>400</v>
      </c>
      <c r="I5" s="49">
        <v>1650</v>
      </c>
    </row>
    <row r="6" spans="2:9" s="7" customFormat="1" ht="17">
      <c r="B6" s="41" t="s">
        <v>62</v>
      </c>
      <c r="C6" s="74">
        <f t="shared" si="1"/>
        <v>535</v>
      </c>
      <c r="D6" s="70">
        <f t="shared" si="0"/>
        <v>1872.5</v>
      </c>
      <c r="F6" s="21"/>
      <c r="G6" s="21"/>
      <c r="H6" s="52">
        <v>500</v>
      </c>
      <c r="I6" s="43">
        <v>1750</v>
      </c>
    </row>
    <row r="7" spans="2:9" s="7" customFormat="1" ht="17">
      <c r="B7" s="22" t="s">
        <v>63</v>
      </c>
      <c r="C7" s="73">
        <f t="shared" si="1"/>
        <v>160.5</v>
      </c>
      <c r="D7" s="69">
        <f t="shared" si="0"/>
        <v>1284</v>
      </c>
      <c r="F7" s="21"/>
      <c r="G7" s="21"/>
      <c r="H7" s="51">
        <v>150</v>
      </c>
      <c r="I7" s="49">
        <f>I49</f>
        <v>1200</v>
      </c>
    </row>
    <row r="8" spans="2:9" s="7" customFormat="1" ht="17">
      <c r="B8" s="41" t="s">
        <v>64</v>
      </c>
      <c r="C8" s="74">
        <f t="shared" si="1"/>
        <v>160.5</v>
      </c>
      <c r="D8" s="70">
        <f t="shared" si="0"/>
        <v>1284</v>
      </c>
      <c r="F8" s="21"/>
      <c r="G8" s="21"/>
      <c r="H8" s="52">
        <v>150</v>
      </c>
      <c r="I8" s="43">
        <f>I49</f>
        <v>1200</v>
      </c>
    </row>
    <row r="9" spans="2:9" s="7" customFormat="1" ht="17">
      <c r="B9" s="22" t="s">
        <v>65</v>
      </c>
      <c r="C9" s="73">
        <f t="shared" si="1"/>
        <v>160.5</v>
      </c>
      <c r="D9" s="69">
        <f t="shared" si="0"/>
        <v>1284</v>
      </c>
      <c r="F9" s="21"/>
      <c r="G9" s="21"/>
      <c r="H9" s="51">
        <v>150</v>
      </c>
      <c r="I9" s="49">
        <f>I49</f>
        <v>1200</v>
      </c>
    </row>
    <row r="10" spans="2:9" s="7" customFormat="1" ht="17">
      <c r="B10" s="41" t="s">
        <v>66</v>
      </c>
      <c r="C10" s="74">
        <f t="shared" si="1"/>
        <v>374.5</v>
      </c>
      <c r="D10" s="70">
        <f t="shared" si="0"/>
        <v>1605</v>
      </c>
      <c r="F10" s="21"/>
      <c r="G10" s="21"/>
      <c r="H10" s="52">
        <v>350</v>
      </c>
      <c r="I10" s="43">
        <v>1500</v>
      </c>
    </row>
    <row r="11" spans="2:9" s="7" customFormat="1" ht="17">
      <c r="B11" s="22" t="s">
        <v>67</v>
      </c>
      <c r="C11" s="73">
        <f t="shared" si="1"/>
        <v>160.5</v>
      </c>
      <c r="D11" s="69">
        <f t="shared" si="0"/>
        <v>1284</v>
      </c>
      <c r="F11" s="21"/>
      <c r="G11" s="21"/>
      <c r="H11" s="51">
        <v>150</v>
      </c>
      <c r="I11" s="49">
        <f>I49</f>
        <v>1200</v>
      </c>
    </row>
    <row r="12" spans="2:9" s="7" customFormat="1" ht="17">
      <c r="B12" s="41" t="s">
        <v>121</v>
      </c>
      <c r="C12" s="74">
        <f t="shared" si="1"/>
        <v>535</v>
      </c>
      <c r="D12" s="70">
        <f t="shared" si="0"/>
        <v>1872.5</v>
      </c>
      <c r="F12" s="21"/>
      <c r="G12" s="21"/>
      <c r="H12" s="52">
        <v>500</v>
      </c>
      <c r="I12" s="43">
        <v>1750</v>
      </c>
    </row>
    <row r="13" spans="2:9" s="7" customFormat="1" ht="17">
      <c r="B13" s="22" t="s">
        <v>124</v>
      </c>
      <c r="C13" s="73">
        <f t="shared" si="1"/>
        <v>535</v>
      </c>
      <c r="D13" s="69">
        <f t="shared" si="0"/>
        <v>1872.5</v>
      </c>
      <c r="F13" s="21"/>
      <c r="G13" s="21"/>
      <c r="H13" s="51">
        <v>500</v>
      </c>
      <c r="I13" s="49">
        <v>1750</v>
      </c>
    </row>
    <row r="14" spans="2:9" s="7" customFormat="1" ht="17">
      <c r="B14" s="41" t="s">
        <v>123</v>
      </c>
      <c r="C14" s="74">
        <f t="shared" si="1"/>
        <v>428</v>
      </c>
      <c r="D14" s="70">
        <f t="shared" si="0"/>
        <v>1765.5</v>
      </c>
      <c r="F14" s="21"/>
      <c r="G14" s="21"/>
      <c r="H14" s="52">
        <v>400</v>
      </c>
      <c r="I14" s="43">
        <v>1650</v>
      </c>
    </row>
    <row r="15" spans="2:9" s="7" customFormat="1" ht="17">
      <c r="B15" s="22" t="s">
        <v>68</v>
      </c>
      <c r="C15" s="73">
        <f t="shared" si="1"/>
        <v>214</v>
      </c>
      <c r="D15" s="69">
        <f t="shared" si="0"/>
        <v>1391</v>
      </c>
      <c r="F15" s="21"/>
      <c r="G15" s="21"/>
      <c r="H15" s="51">
        <v>200</v>
      </c>
      <c r="I15" s="49">
        <v>1300</v>
      </c>
    </row>
    <row r="16" spans="2:9" s="7" customFormat="1" ht="17">
      <c r="B16" s="41" t="s">
        <v>69</v>
      </c>
      <c r="C16" s="74">
        <f t="shared" si="1"/>
        <v>214</v>
      </c>
      <c r="D16" s="70">
        <f t="shared" si="0"/>
        <v>1391</v>
      </c>
      <c r="F16" s="21"/>
      <c r="G16" s="21"/>
      <c r="H16" s="52">
        <v>200</v>
      </c>
      <c r="I16" s="43">
        <v>1300</v>
      </c>
    </row>
    <row r="17" spans="2:9" s="7" customFormat="1" ht="17">
      <c r="B17" s="22" t="s">
        <v>70</v>
      </c>
      <c r="C17" s="73">
        <f t="shared" si="1"/>
        <v>428</v>
      </c>
      <c r="D17" s="69">
        <f t="shared" si="0"/>
        <v>1765.5</v>
      </c>
      <c r="F17" s="21"/>
      <c r="G17" s="21"/>
      <c r="H17" s="51">
        <v>400</v>
      </c>
      <c r="I17" s="49">
        <v>1650</v>
      </c>
    </row>
    <row r="18" spans="2:9" s="7" customFormat="1" ht="17">
      <c r="B18" s="41" t="s">
        <v>126</v>
      </c>
      <c r="C18" s="74">
        <f t="shared" si="1"/>
        <v>642</v>
      </c>
      <c r="D18" s="70">
        <f t="shared" si="0"/>
        <v>1979.5000000000002</v>
      </c>
      <c r="F18" s="21"/>
      <c r="G18" s="21"/>
      <c r="H18" s="52">
        <v>600</v>
      </c>
      <c r="I18" s="43">
        <v>1850</v>
      </c>
    </row>
    <row r="19" spans="2:9" s="7" customFormat="1" ht="17">
      <c r="B19" s="22" t="s">
        <v>71</v>
      </c>
      <c r="C19" s="73">
        <f t="shared" si="1"/>
        <v>214</v>
      </c>
      <c r="D19" s="69">
        <f t="shared" si="0"/>
        <v>1391</v>
      </c>
      <c r="F19" s="21"/>
      <c r="G19" s="21"/>
      <c r="H19" s="51">
        <v>200</v>
      </c>
      <c r="I19" s="49">
        <v>1300</v>
      </c>
    </row>
    <row r="20" spans="2:9" s="7" customFormat="1" ht="17">
      <c r="B20" s="41" t="s">
        <v>72</v>
      </c>
      <c r="C20" s="74">
        <f t="shared" si="1"/>
        <v>160.5</v>
      </c>
      <c r="D20" s="70">
        <f t="shared" si="0"/>
        <v>1284</v>
      </c>
      <c r="F20" s="21"/>
      <c r="G20" s="21"/>
      <c r="H20" s="52">
        <v>150</v>
      </c>
      <c r="I20" s="43">
        <f>I49</f>
        <v>1200</v>
      </c>
    </row>
    <row r="21" spans="2:9" s="7" customFormat="1" ht="17">
      <c r="B21" s="22" t="s">
        <v>73</v>
      </c>
      <c r="C21" s="73">
        <f t="shared" si="1"/>
        <v>321</v>
      </c>
      <c r="D21" s="69">
        <f t="shared" si="0"/>
        <v>1605</v>
      </c>
      <c r="F21" s="21"/>
      <c r="G21" s="21"/>
      <c r="H21" s="51">
        <v>300</v>
      </c>
      <c r="I21" s="49">
        <v>1500</v>
      </c>
    </row>
    <row r="22" spans="2:9" s="7" customFormat="1" ht="17">
      <c r="B22" s="41" t="s">
        <v>118</v>
      </c>
      <c r="C22" s="74">
        <f t="shared" si="1"/>
        <v>428</v>
      </c>
      <c r="D22" s="70">
        <f t="shared" si="0"/>
        <v>1765.5</v>
      </c>
      <c r="F22" s="21"/>
      <c r="G22" s="21"/>
      <c r="H22" s="52">
        <v>400</v>
      </c>
      <c r="I22" s="43">
        <v>1650</v>
      </c>
    </row>
    <row r="23" spans="2:9" s="7" customFormat="1" ht="17">
      <c r="B23" s="22" t="s">
        <v>74</v>
      </c>
      <c r="C23" s="73">
        <f t="shared" si="1"/>
        <v>428</v>
      </c>
      <c r="D23" s="69">
        <f t="shared" si="0"/>
        <v>1765.5</v>
      </c>
      <c r="F23" s="21"/>
      <c r="G23" s="21"/>
      <c r="H23" s="51">
        <v>400</v>
      </c>
      <c r="I23" s="49">
        <v>1650</v>
      </c>
    </row>
    <row r="24" spans="2:9" s="7" customFormat="1" ht="17">
      <c r="B24" s="41" t="s">
        <v>75</v>
      </c>
      <c r="C24" s="74">
        <f t="shared" si="1"/>
        <v>535</v>
      </c>
      <c r="D24" s="70">
        <f t="shared" si="0"/>
        <v>1872.5</v>
      </c>
      <c r="F24" s="21"/>
      <c r="G24" s="21"/>
      <c r="H24" s="52">
        <v>500</v>
      </c>
      <c r="I24" s="43">
        <v>1750</v>
      </c>
    </row>
    <row r="25" spans="2:9" s="7" customFormat="1" ht="17">
      <c r="B25" s="22" t="s">
        <v>76</v>
      </c>
      <c r="C25" s="73">
        <f t="shared" si="1"/>
        <v>642</v>
      </c>
      <c r="D25" s="69">
        <f t="shared" si="0"/>
        <v>2140</v>
      </c>
      <c r="F25" s="21"/>
      <c r="G25" s="21"/>
      <c r="H25" s="51">
        <v>600</v>
      </c>
      <c r="I25" s="49">
        <v>2000</v>
      </c>
    </row>
    <row r="26" spans="2:9" s="7" customFormat="1" ht="17">
      <c r="B26" s="41" t="s">
        <v>77</v>
      </c>
      <c r="C26" s="74">
        <f t="shared" si="1"/>
        <v>321</v>
      </c>
      <c r="D26" s="70">
        <f t="shared" si="0"/>
        <v>1605</v>
      </c>
      <c r="F26" s="21"/>
      <c r="G26" s="21"/>
      <c r="H26" s="52">
        <v>300</v>
      </c>
      <c r="I26" s="43">
        <v>1500</v>
      </c>
    </row>
    <row r="27" spans="2:9" s="7" customFormat="1" ht="17">
      <c r="B27" s="22" t="s">
        <v>78</v>
      </c>
      <c r="C27" s="73">
        <f t="shared" si="1"/>
        <v>321</v>
      </c>
      <c r="D27" s="69">
        <f t="shared" si="0"/>
        <v>1605</v>
      </c>
      <c r="F27" s="21"/>
      <c r="G27" s="21"/>
      <c r="H27" s="51">
        <v>300</v>
      </c>
      <c r="I27" s="49">
        <v>1500</v>
      </c>
    </row>
    <row r="28" spans="2:9" s="7" customFormat="1" ht="17">
      <c r="B28" s="41" t="s">
        <v>125</v>
      </c>
      <c r="C28" s="74">
        <f t="shared" si="1"/>
        <v>1070</v>
      </c>
      <c r="D28" s="70">
        <f t="shared" si="0"/>
        <v>2675</v>
      </c>
      <c r="F28" s="21"/>
      <c r="G28" s="21"/>
      <c r="H28" s="52">
        <v>1000</v>
      </c>
      <c r="I28" s="43">
        <v>2500</v>
      </c>
    </row>
    <row r="29" spans="2:9" s="7" customFormat="1" ht="17">
      <c r="B29" s="22" t="s">
        <v>79</v>
      </c>
      <c r="C29" s="73">
        <f t="shared" si="1"/>
        <v>428</v>
      </c>
      <c r="D29" s="69">
        <f t="shared" si="0"/>
        <v>1765.5</v>
      </c>
      <c r="F29" s="21"/>
      <c r="G29" s="21"/>
      <c r="H29" s="51">
        <v>400</v>
      </c>
      <c r="I29" s="49">
        <v>1650</v>
      </c>
    </row>
    <row r="30" spans="2:9" s="7" customFormat="1" ht="17">
      <c r="B30" s="41" t="s">
        <v>80</v>
      </c>
      <c r="C30" s="74">
        <f t="shared" si="1"/>
        <v>428</v>
      </c>
      <c r="D30" s="70">
        <f t="shared" si="0"/>
        <v>1765.5</v>
      </c>
      <c r="F30" s="21"/>
      <c r="G30" s="21"/>
      <c r="H30" s="52">
        <v>400</v>
      </c>
      <c r="I30" s="43">
        <v>1650</v>
      </c>
    </row>
    <row r="31" spans="2:9" s="7" customFormat="1" ht="17">
      <c r="B31" s="22" t="s">
        <v>81</v>
      </c>
      <c r="C31" s="73">
        <f t="shared" si="1"/>
        <v>428</v>
      </c>
      <c r="D31" s="69">
        <f t="shared" si="0"/>
        <v>1765.5</v>
      </c>
      <c r="F31" s="21"/>
      <c r="G31" s="21"/>
      <c r="H31" s="51">
        <v>400</v>
      </c>
      <c r="I31" s="49">
        <v>1650</v>
      </c>
    </row>
    <row r="32" spans="2:9" s="7" customFormat="1" ht="17">
      <c r="B32" s="41" t="s">
        <v>119</v>
      </c>
      <c r="C32" s="74">
        <f t="shared" si="1"/>
        <v>428</v>
      </c>
      <c r="D32" s="70">
        <f t="shared" si="0"/>
        <v>1765.5</v>
      </c>
      <c r="F32" s="21"/>
      <c r="G32" s="21"/>
      <c r="H32" s="52">
        <v>400</v>
      </c>
      <c r="I32" s="43">
        <v>1650</v>
      </c>
    </row>
    <row r="33" spans="2:9" s="7" customFormat="1" ht="17">
      <c r="B33" s="22" t="s">
        <v>82</v>
      </c>
      <c r="C33" s="73">
        <f t="shared" si="1"/>
        <v>428</v>
      </c>
      <c r="D33" s="69">
        <f t="shared" si="0"/>
        <v>1765.5</v>
      </c>
      <c r="F33" s="21"/>
      <c r="G33" s="21"/>
      <c r="H33" s="51">
        <v>400</v>
      </c>
      <c r="I33" s="49">
        <v>1650</v>
      </c>
    </row>
    <row r="34" spans="2:9" s="7" customFormat="1" ht="17">
      <c r="B34" s="41" t="s">
        <v>83</v>
      </c>
      <c r="C34" s="74">
        <f t="shared" si="1"/>
        <v>428</v>
      </c>
      <c r="D34" s="70">
        <f t="shared" si="0"/>
        <v>1765.5</v>
      </c>
      <c r="F34" s="21"/>
      <c r="G34" s="21"/>
      <c r="H34" s="52">
        <v>400</v>
      </c>
      <c r="I34" s="43">
        <v>1650</v>
      </c>
    </row>
    <row r="35" spans="2:9" s="7" customFormat="1" ht="17">
      <c r="B35" s="22" t="s">
        <v>84</v>
      </c>
      <c r="C35" s="73">
        <f t="shared" si="1"/>
        <v>428</v>
      </c>
      <c r="D35" s="69">
        <f t="shared" si="0"/>
        <v>1765.5</v>
      </c>
      <c r="F35" s="21"/>
      <c r="G35" s="21"/>
      <c r="H35" s="51">
        <v>400</v>
      </c>
      <c r="I35" s="49">
        <v>1650</v>
      </c>
    </row>
    <row r="36" spans="2:9" s="7" customFormat="1" ht="17">
      <c r="B36" s="41" t="s">
        <v>85</v>
      </c>
      <c r="C36" s="74">
        <f t="shared" si="1"/>
        <v>642</v>
      </c>
      <c r="D36" s="70">
        <f t="shared" si="0"/>
        <v>2140</v>
      </c>
      <c r="F36" s="21"/>
      <c r="G36" s="21"/>
      <c r="H36" s="52">
        <v>600</v>
      </c>
      <c r="I36" s="43">
        <v>2000</v>
      </c>
    </row>
    <row r="37" spans="2:9" s="7" customFormat="1" ht="17">
      <c r="B37" s="22" t="s">
        <v>86</v>
      </c>
      <c r="C37" s="73">
        <f t="shared" si="1"/>
        <v>428</v>
      </c>
      <c r="D37" s="69">
        <f t="shared" si="0"/>
        <v>1765.5</v>
      </c>
      <c r="F37" s="21"/>
      <c r="G37" s="21"/>
      <c r="H37" s="51">
        <v>400</v>
      </c>
      <c r="I37" s="49">
        <v>1650</v>
      </c>
    </row>
    <row r="38" spans="2:9" s="7" customFormat="1" ht="17">
      <c r="B38" s="41" t="s">
        <v>87</v>
      </c>
      <c r="C38" s="74">
        <f t="shared" si="1"/>
        <v>1070</v>
      </c>
      <c r="D38" s="70">
        <f t="shared" si="0"/>
        <v>2675</v>
      </c>
      <c r="F38" s="21"/>
      <c r="G38" s="21"/>
      <c r="H38" s="52">
        <v>1000</v>
      </c>
      <c r="I38" s="43">
        <v>2500</v>
      </c>
    </row>
    <row r="39" spans="2:9" s="7" customFormat="1" ht="17">
      <c r="B39" s="22" t="s">
        <v>88</v>
      </c>
      <c r="C39" s="73">
        <f t="shared" si="1"/>
        <v>428</v>
      </c>
      <c r="D39" s="69">
        <f t="shared" si="0"/>
        <v>1765.5</v>
      </c>
      <c r="F39" s="21"/>
      <c r="G39" s="21"/>
      <c r="H39" s="51">
        <v>400</v>
      </c>
      <c r="I39" s="49">
        <v>1650</v>
      </c>
    </row>
    <row r="40" spans="2:9" s="7" customFormat="1" ht="17">
      <c r="B40" s="41" t="s">
        <v>89</v>
      </c>
      <c r="C40" s="74">
        <f t="shared" si="1"/>
        <v>856</v>
      </c>
      <c r="D40" s="70">
        <f t="shared" si="0"/>
        <v>2354</v>
      </c>
      <c r="F40" s="21"/>
      <c r="G40" s="21"/>
      <c r="H40" s="52">
        <v>800</v>
      </c>
      <c r="I40" s="43">
        <v>2200</v>
      </c>
    </row>
    <row r="41" spans="2:9" s="7" customFormat="1" ht="17">
      <c r="B41" s="22" t="s">
        <v>122</v>
      </c>
      <c r="C41" s="73">
        <f t="shared" si="1"/>
        <v>642</v>
      </c>
      <c r="D41" s="69">
        <f t="shared" si="0"/>
        <v>2140</v>
      </c>
      <c r="F41" s="21"/>
      <c r="G41" s="21"/>
      <c r="H41" s="51">
        <v>600</v>
      </c>
      <c r="I41" s="49">
        <v>2000</v>
      </c>
    </row>
    <row r="42" spans="2:9" s="7" customFormat="1" ht="17">
      <c r="B42" s="41" t="s">
        <v>90</v>
      </c>
      <c r="C42" s="74">
        <f t="shared" si="1"/>
        <v>428</v>
      </c>
      <c r="D42" s="70">
        <f t="shared" si="0"/>
        <v>1765.5</v>
      </c>
      <c r="F42" s="21"/>
      <c r="G42" s="21"/>
      <c r="H42" s="52">
        <v>400</v>
      </c>
      <c r="I42" s="43">
        <v>1650</v>
      </c>
    </row>
    <row r="43" spans="2:9" s="7" customFormat="1" ht="17">
      <c r="B43" s="22" t="s">
        <v>91</v>
      </c>
      <c r="C43" s="73">
        <f t="shared" si="1"/>
        <v>428</v>
      </c>
      <c r="D43" s="69">
        <f t="shared" si="0"/>
        <v>1765.5</v>
      </c>
      <c r="F43" s="21"/>
      <c r="G43" s="21"/>
      <c r="H43" s="51">
        <v>400</v>
      </c>
      <c r="I43" s="49">
        <v>1650</v>
      </c>
    </row>
    <row r="44" spans="2:9" s="7" customFormat="1" ht="17">
      <c r="B44" s="41" t="s">
        <v>92</v>
      </c>
      <c r="C44" s="74">
        <f t="shared" si="1"/>
        <v>856</v>
      </c>
      <c r="D44" s="70">
        <f t="shared" si="0"/>
        <v>2354</v>
      </c>
      <c r="F44" s="21"/>
      <c r="G44" s="21"/>
      <c r="H44" s="52">
        <v>800</v>
      </c>
      <c r="I44" s="43">
        <v>2200</v>
      </c>
    </row>
    <row r="45" spans="2:9" s="7" customFormat="1" ht="17">
      <c r="B45" s="22" t="s">
        <v>120</v>
      </c>
      <c r="C45" s="73">
        <f t="shared" ref="C45:C49" si="2">H45*(1+$H$2)</f>
        <v>321</v>
      </c>
      <c r="D45" s="69">
        <f t="shared" ref="D45:D49" si="3">I45*(1+$H$2)</f>
        <v>1605</v>
      </c>
      <c r="F45" s="21"/>
      <c r="G45" s="21"/>
      <c r="H45" s="51">
        <v>300</v>
      </c>
      <c r="I45" s="49">
        <v>1500</v>
      </c>
    </row>
    <row r="46" spans="2:9" s="7" customFormat="1" ht="18" thickBot="1">
      <c r="B46" s="41" t="s">
        <v>93</v>
      </c>
      <c r="C46" s="74">
        <f>H46*(1+$H$2)</f>
        <v>642</v>
      </c>
      <c r="D46" s="70">
        <f>I46*(1+$H$2)</f>
        <v>2140</v>
      </c>
      <c r="F46" s="21"/>
      <c r="G46" s="21"/>
      <c r="H46" s="52">
        <v>600</v>
      </c>
      <c r="I46" s="43">
        <v>2000</v>
      </c>
    </row>
    <row r="47" spans="2:9" s="5" customFormat="1" ht="18" thickBot="1">
      <c r="B47" s="34" t="s">
        <v>58</v>
      </c>
      <c r="C47" s="54" t="s">
        <v>10</v>
      </c>
      <c r="D47" s="35" t="s">
        <v>11</v>
      </c>
      <c r="F47" s="18"/>
      <c r="H47" s="19" t="s">
        <v>10</v>
      </c>
      <c r="I47" s="20" t="s">
        <v>11</v>
      </c>
    </row>
    <row r="48" spans="2:9" s="7" customFormat="1" ht="17">
      <c r="B48" s="22" t="s">
        <v>94</v>
      </c>
      <c r="C48" s="73">
        <f t="shared" si="2"/>
        <v>374.5</v>
      </c>
      <c r="D48" s="69">
        <f t="shared" si="3"/>
        <v>1658.5</v>
      </c>
      <c r="F48" s="21"/>
      <c r="G48" s="21"/>
      <c r="H48" s="51">
        <v>350</v>
      </c>
      <c r="I48" s="49">
        <v>1550</v>
      </c>
    </row>
    <row r="49" spans="2:9" s="7" customFormat="1" ht="18" thickBot="1">
      <c r="B49" s="16" t="s">
        <v>95</v>
      </c>
      <c r="C49" s="75">
        <f t="shared" si="2"/>
        <v>160.5</v>
      </c>
      <c r="D49" s="71">
        <f t="shared" si="3"/>
        <v>1284</v>
      </c>
      <c r="F49" s="21"/>
      <c r="G49" s="21"/>
      <c r="H49" s="53">
        <v>150</v>
      </c>
      <c r="I49" s="44">
        <v>1200</v>
      </c>
    </row>
    <row r="50" spans="2:9" s="7" customFormat="1" ht="18" thickBot="1">
      <c r="B50" s="23"/>
      <c r="C50" s="23"/>
      <c r="D50" s="23"/>
      <c r="E50" s="2"/>
      <c r="F50" s="2"/>
      <c r="G50" s="2"/>
      <c r="H50" s="2"/>
    </row>
    <row r="51" spans="2:9" s="7" customFormat="1" ht="17">
      <c r="B51" s="167" t="s">
        <v>56</v>
      </c>
      <c r="C51" s="168"/>
      <c r="D51" s="169"/>
      <c r="E51" s="2"/>
      <c r="F51" s="2"/>
      <c r="G51" s="2"/>
      <c r="H51" s="2"/>
    </row>
    <row r="52" spans="2:9" ht="82" customHeight="1">
      <c r="B52" s="170" t="s">
        <v>127</v>
      </c>
      <c r="C52" s="171"/>
      <c r="D52" s="172"/>
    </row>
    <row r="53" spans="2:9" ht="55" customHeight="1" thickBot="1">
      <c r="B53" s="164" t="s">
        <v>141</v>
      </c>
      <c r="C53" s="165"/>
      <c r="D53" s="166"/>
    </row>
  </sheetData>
  <mergeCells count="4">
    <mergeCell ref="B53:D53"/>
    <mergeCell ref="B51:D51"/>
    <mergeCell ref="B52:D52"/>
    <mergeCell ref="B2:D2"/>
  </mergeCells>
  <printOptions horizontalCentered="1"/>
  <pageMargins left="0.25" right="0.25" top="0.75" bottom="0.75" header="0.3" footer="0.3"/>
  <pageSetup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CB54-F58B-3E4F-B511-3CE783BFD914}">
  <sheetPr codeName="Sheet4">
    <pageSetUpPr fitToPage="1"/>
  </sheetPr>
  <dimension ref="B2:O72"/>
  <sheetViews>
    <sheetView showGridLines="0" zoomScale="141" zoomScaleNormal="141" zoomScalePageLayoutView="80" workbookViewId="0"/>
  </sheetViews>
  <sheetFormatPr baseColWidth="10" defaultColWidth="10.83203125" defaultRowHeight="15"/>
  <cols>
    <col min="1" max="1" width="2.6640625" customWidth="1"/>
    <col min="2" max="3" width="26" style="1" customWidth="1"/>
    <col min="4" max="6" width="13" style="1" customWidth="1"/>
    <col min="7" max="7" width="26" style="1" customWidth="1"/>
    <col min="8" max="8" width="6.33203125" customWidth="1"/>
    <col min="11" max="13" width="11.1640625" bestFit="1" customWidth="1"/>
    <col min="15" max="15" width="11.33203125" bestFit="1" customWidth="1"/>
  </cols>
  <sheetData>
    <row r="2" spans="2:14" s="2" customFormat="1" ht="16">
      <c r="B2" s="37"/>
      <c r="C2" s="37"/>
      <c r="D2" s="37"/>
      <c r="E2" s="37"/>
      <c r="F2" s="37"/>
      <c r="G2" s="55"/>
    </row>
    <row r="3" spans="2:14" s="2" customFormat="1" ht="20">
      <c r="B3" s="37"/>
      <c r="C3" s="37"/>
      <c r="D3" s="37"/>
      <c r="E3" s="37"/>
      <c r="F3" s="37"/>
      <c r="G3" s="56" t="s">
        <v>0</v>
      </c>
    </row>
    <row r="4" spans="2:14" s="2" customFormat="1" ht="17" customHeight="1">
      <c r="B4" s="37"/>
      <c r="C4" s="37"/>
      <c r="D4" s="37"/>
      <c r="E4" s="37"/>
      <c r="F4" s="37"/>
      <c r="G4" s="57" t="s">
        <v>1</v>
      </c>
    </row>
    <row r="5" spans="2:14" s="2" customFormat="1" ht="17" customHeight="1">
      <c r="B5" s="37"/>
      <c r="C5" s="37"/>
      <c r="D5" s="37"/>
      <c r="E5" s="37"/>
      <c r="F5" s="37"/>
      <c r="G5" s="57" t="s">
        <v>2</v>
      </c>
    </row>
    <row r="6" spans="2:14" s="2" customFormat="1" ht="17">
      <c r="B6" s="37"/>
      <c r="C6" s="37"/>
      <c r="D6" s="37"/>
      <c r="E6" s="37"/>
      <c r="F6" s="37"/>
      <c r="G6" s="57" t="s">
        <v>3</v>
      </c>
    </row>
    <row r="7" spans="2:14" s="2" customFormat="1" ht="17">
      <c r="B7" s="37"/>
      <c r="C7" s="37"/>
      <c r="D7" s="37"/>
      <c r="E7" s="37"/>
      <c r="F7" s="37"/>
      <c r="G7" s="58" t="s">
        <v>4</v>
      </c>
    </row>
    <row r="8" spans="2:14" s="2" customFormat="1" ht="17">
      <c r="B8" s="38"/>
      <c r="C8" s="38"/>
      <c r="D8" s="38"/>
      <c r="E8" s="38"/>
      <c r="F8" s="37"/>
      <c r="G8" s="57" t="s">
        <v>5</v>
      </c>
    </row>
    <row r="9" spans="2:14" s="2" customFormat="1" ht="16">
      <c r="B9" s="37"/>
      <c r="C9" s="37"/>
      <c r="D9" s="37"/>
      <c r="E9" s="37"/>
      <c r="F9" s="37"/>
      <c r="G9" s="37"/>
    </row>
    <row r="10" spans="2:14" s="2" customFormat="1" ht="28" customHeight="1">
      <c r="B10" s="133" t="s">
        <v>142</v>
      </c>
      <c r="C10" s="133"/>
      <c r="D10" s="133"/>
      <c r="E10" s="133"/>
      <c r="F10" s="133"/>
      <c r="G10" s="133"/>
      <c r="K10" s="3" t="s">
        <v>6</v>
      </c>
      <c r="L10" s="96">
        <v>7.0000000000000007E-2</v>
      </c>
    </row>
    <row r="11" spans="2:14" ht="10" customHeight="1">
      <c r="B11"/>
      <c r="C11"/>
      <c r="D11"/>
      <c r="E11"/>
      <c r="F11"/>
      <c r="G11"/>
    </row>
    <row r="12" spans="2:14" s="5" customFormat="1" ht="24" customHeight="1">
      <c r="B12" s="175" t="s">
        <v>117</v>
      </c>
      <c r="C12" s="175"/>
      <c r="D12" s="175"/>
      <c r="E12" s="175"/>
      <c r="F12" s="175"/>
      <c r="G12" s="175"/>
      <c r="I12" s="2"/>
    </row>
    <row r="13" spans="2:14" ht="10" customHeight="1" thickBot="1">
      <c r="B13"/>
      <c r="C13"/>
      <c r="D13"/>
      <c r="E13"/>
      <c r="F13"/>
      <c r="G13"/>
    </row>
    <row r="14" spans="2:14" s="5" customFormat="1" ht="22" customHeight="1" thickBot="1">
      <c r="B14" s="135" t="s">
        <v>8</v>
      </c>
      <c r="C14" s="136"/>
      <c r="D14" s="136"/>
      <c r="E14" s="136"/>
      <c r="F14" s="136"/>
      <c r="G14" s="137"/>
      <c r="I14" s="2"/>
    </row>
    <row r="15" spans="2:14" s="7" customFormat="1" ht="30" customHeight="1" thickBot="1">
      <c r="B15" s="176" t="s">
        <v>9</v>
      </c>
      <c r="C15" s="177"/>
      <c r="D15" s="59" t="s">
        <v>10</v>
      </c>
      <c r="E15" s="59" t="s">
        <v>59</v>
      </c>
      <c r="F15" s="60" t="s">
        <v>60</v>
      </c>
      <c r="G15" s="61" t="s">
        <v>12</v>
      </c>
      <c r="I15" s="2"/>
      <c r="K15" s="59" t="s">
        <v>10</v>
      </c>
      <c r="L15" s="59" t="s">
        <v>59</v>
      </c>
      <c r="M15" s="60" t="s">
        <v>60</v>
      </c>
      <c r="N15" s="11"/>
    </row>
    <row r="16" spans="2:14" s="7" customFormat="1" ht="32" customHeight="1">
      <c r="B16" s="66" t="s">
        <v>13</v>
      </c>
      <c r="C16" s="10" t="s">
        <v>14</v>
      </c>
      <c r="D16" s="148">
        <f>K16*(1+$L$10)</f>
        <v>6955</v>
      </c>
      <c r="E16" s="148">
        <f>L16*(1+$L$10)</f>
        <v>8025.0000000000009</v>
      </c>
      <c r="F16" s="182">
        <f t="shared" ref="F16" si="0">M16*(1+$L$10)</f>
        <v>15515</v>
      </c>
      <c r="G16" s="151" t="s">
        <v>15</v>
      </c>
      <c r="I16" s="2"/>
      <c r="K16" s="148">
        <v>6500</v>
      </c>
      <c r="L16" s="148">
        <f>L24</f>
        <v>7500</v>
      </c>
      <c r="M16" s="148">
        <f>M24</f>
        <v>14500</v>
      </c>
      <c r="N16" s="11"/>
    </row>
    <row r="17" spans="2:15" s="7" customFormat="1" ht="33" thickBot="1">
      <c r="B17" s="12" t="s">
        <v>14</v>
      </c>
      <c r="C17" s="13" t="s">
        <v>13</v>
      </c>
      <c r="D17" s="149"/>
      <c r="E17" s="149"/>
      <c r="F17" s="183"/>
      <c r="G17" s="153"/>
      <c r="I17" s="2"/>
      <c r="K17" s="149"/>
      <c r="L17" s="149"/>
      <c r="M17" s="149"/>
      <c r="N17" s="11"/>
    </row>
    <row r="18" spans="2:15" s="7" customFormat="1" ht="32" customHeight="1">
      <c r="B18" s="67" t="s">
        <v>16</v>
      </c>
      <c r="C18" s="63" t="s">
        <v>14</v>
      </c>
      <c r="D18" s="173">
        <f t="shared" ref="D18" si="1">K18*(1+$L$10)</f>
        <v>6420</v>
      </c>
      <c r="E18" s="173">
        <f t="shared" ref="E18" si="2">L18*(1+$L$10)</f>
        <v>8025.0000000000009</v>
      </c>
      <c r="F18" s="184">
        <f t="shared" ref="F18" si="3">M18*(1+$L$10)</f>
        <v>15515</v>
      </c>
      <c r="G18" s="180" t="s">
        <v>17</v>
      </c>
      <c r="I18" s="2"/>
      <c r="K18" s="173">
        <v>6000</v>
      </c>
      <c r="L18" s="173">
        <v>7500</v>
      </c>
      <c r="M18" s="184">
        <v>14500</v>
      </c>
      <c r="N18" s="11"/>
      <c r="O18" s="11"/>
    </row>
    <row r="19" spans="2:15" s="7" customFormat="1" ht="33" thickBot="1">
      <c r="B19" s="64" t="s">
        <v>14</v>
      </c>
      <c r="C19" s="65" t="s">
        <v>16</v>
      </c>
      <c r="D19" s="174"/>
      <c r="E19" s="174"/>
      <c r="F19" s="185"/>
      <c r="G19" s="181"/>
      <c r="I19" s="2"/>
      <c r="K19" s="174"/>
      <c r="L19" s="174"/>
      <c r="M19" s="185"/>
      <c r="N19" s="11"/>
    </row>
    <row r="20" spans="2:15" s="7" customFormat="1" ht="32" customHeight="1">
      <c r="B20" s="9" t="s">
        <v>18</v>
      </c>
      <c r="C20" s="10" t="s">
        <v>14</v>
      </c>
      <c r="D20" s="148">
        <f t="shared" ref="D20" si="4">K20*(1+$L$10)</f>
        <v>2461</v>
      </c>
      <c r="E20" s="148">
        <f t="shared" ref="E20" si="5">L20*(1+$L$10)</f>
        <v>3424</v>
      </c>
      <c r="F20" s="182">
        <f t="shared" ref="F20" si="6">M20*(1+$L$10)</f>
        <v>8025.0000000000009</v>
      </c>
      <c r="G20" s="151" t="s">
        <v>15</v>
      </c>
      <c r="I20" s="2"/>
      <c r="K20" s="148">
        <v>2300</v>
      </c>
      <c r="L20" s="148">
        <v>3200</v>
      </c>
      <c r="M20" s="182">
        <v>7500</v>
      </c>
      <c r="N20" s="11"/>
    </row>
    <row r="21" spans="2:15" s="7" customFormat="1" ht="33" thickBot="1">
      <c r="B21" s="12" t="s">
        <v>14</v>
      </c>
      <c r="C21" s="13" t="s">
        <v>18</v>
      </c>
      <c r="D21" s="149"/>
      <c r="E21" s="149"/>
      <c r="F21" s="183"/>
      <c r="G21" s="153"/>
      <c r="I21" s="2"/>
      <c r="K21" s="149"/>
      <c r="L21" s="149"/>
      <c r="M21" s="183"/>
      <c r="N21" s="11"/>
    </row>
    <row r="22" spans="2:15" s="7" customFormat="1" ht="32" customHeight="1">
      <c r="B22" s="62" t="s">
        <v>19</v>
      </c>
      <c r="C22" s="63" t="s">
        <v>14</v>
      </c>
      <c r="D22" s="173">
        <f t="shared" ref="D22" si="7">K22*(1+$L$10)</f>
        <v>9630</v>
      </c>
      <c r="E22" s="173">
        <f>L22*(1+$L$10)</f>
        <v>12037.5</v>
      </c>
      <c r="F22" s="184">
        <f>M22</f>
        <v>21750</v>
      </c>
      <c r="G22" s="180" t="s">
        <v>17</v>
      </c>
      <c r="I22" s="2"/>
      <c r="K22" s="173">
        <f>K24*(1+50%)</f>
        <v>9000</v>
      </c>
      <c r="L22" s="173">
        <f>L24*(1+50%)</f>
        <v>11250</v>
      </c>
      <c r="M22" s="178">
        <f>M24*(1+50%)</f>
        <v>21750</v>
      </c>
      <c r="N22" s="11"/>
      <c r="O22" s="11"/>
    </row>
    <row r="23" spans="2:15" s="7" customFormat="1" ht="33" thickBot="1">
      <c r="B23" s="64" t="s">
        <v>14</v>
      </c>
      <c r="C23" s="65" t="s">
        <v>19</v>
      </c>
      <c r="D23" s="174"/>
      <c r="E23" s="174"/>
      <c r="F23" s="185"/>
      <c r="G23" s="181"/>
      <c r="I23" s="2"/>
      <c r="K23" s="174"/>
      <c r="L23" s="174"/>
      <c r="M23" s="179"/>
      <c r="N23" s="11"/>
    </row>
    <row r="24" spans="2:15" s="7" customFormat="1" ht="32" customHeight="1">
      <c r="B24" s="9" t="s">
        <v>20</v>
      </c>
      <c r="C24" s="10" t="s">
        <v>14</v>
      </c>
      <c r="D24" s="148">
        <f t="shared" ref="D24" si="8">K24*(1+$L$10)</f>
        <v>6420</v>
      </c>
      <c r="E24" s="148">
        <f t="shared" ref="E24" si="9">L24*(1+$L$10)</f>
        <v>8025.0000000000009</v>
      </c>
      <c r="F24" s="182">
        <f t="shared" ref="F24" si="10">M24*(1+$L$10)</f>
        <v>15515</v>
      </c>
      <c r="G24" s="151" t="s">
        <v>15</v>
      </c>
      <c r="I24" s="2"/>
      <c r="K24" s="148">
        <v>6000</v>
      </c>
      <c r="L24" s="148">
        <v>7500</v>
      </c>
      <c r="M24" s="182">
        <v>14500</v>
      </c>
      <c r="N24" s="11"/>
    </row>
    <row r="25" spans="2:15" s="7" customFormat="1" ht="33" thickBot="1">
      <c r="B25" s="12" t="s">
        <v>14</v>
      </c>
      <c r="C25" s="13" t="s">
        <v>20</v>
      </c>
      <c r="D25" s="149"/>
      <c r="E25" s="149"/>
      <c r="F25" s="183"/>
      <c r="G25" s="153"/>
      <c r="I25" s="2"/>
      <c r="K25" s="149"/>
      <c r="L25" s="149"/>
      <c r="M25" s="183"/>
      <c r="N25" s="11"/>
    </row>
    <row r="26" spans="2:15" s="7" customFormat="1" ht="32" customHeight="1">
      <c r="B26" s="62" t="s">
        <v>21</v>
      </c>
      <c r="C26" s="63" t="s">
        <v>14</v>
      </c>
      <c r="D26" s="173">
        <f t="shared" ref="D26" si="11">K26*(1+$L$10)</f>
        <v>6420</v>
      </c>
      <c r="E26" s="173">
        <f t="shared" ref="E26" si="12">L26*(1+$L$10)</f>
        <v>8025.0000000000009</v>
      </c>
      <c r="F26" s="178">
        <f t="shared" ref="F26" si="13">M26*(1+$L$10)</f>
        <v>15515</v>
      </c>
      <c r="G26" s="180" t="s">
        <v>17</v>
      </c>
      <c r="I26" s="2"/>
      <c r="K26" s="173">
        <f>K24</f>
        <v>6000</v>
      </c>
      <c r="L26" s="173">
        <f t="shared" ref="L26" si="14">L24</f>
        <v>7500</v>
      </c>
      <c r="M26" s="178">
        <v>14500</v>
      </c>
      <c r="N26" s="11"/>
      <c r="O26" s="11"/>
    </row>
    <row r="27" spans="2:15" s="7" customFormat="1" ht="33" thickBot="1">
      <c r="B27" s="64" t="s">
        <v>14</v>
      </c>
      <c r="C27" s="65" t="s">
        <v>21</v>
      </c>
      <c r="D27" s="174"/>
      <c r="E27" s="174"/>
      <c r="F27" s="179"/>
      <c r="G27" s="181"/>
      <c r="I27" s="2"/>
      <c r="K27" s="174"/>
      <c r="L27" s="174"/>
      <c r="M27" s="179"/>
      <c r="N27" s="11"/>
    </row>
    <row r="28" spans="2:15" s="7" customFormat="1" ht="32" customHeight="1">
      <c r="B28" s="9" t="s">
        <v>22</v>
      </c>
      <c r="C28" s="10" t="s">
        <v>14</v>
      </c>
      <c r="D28" s="148">
        <f t="shared" ref="D28" si="15">K28*(1+$L$10)</f>
        <v>2461</v>
      </c>
      <c r="E28" s="148">
        <f t="shared" ref="E28" si="16">L28*(1+$L$10)</f>
        <v>3424</v>
      </c>
      <c r="F28" s="159">
        <f t="shared" ref="F28" si="17">M28*(1+$L$10)</f>
        <v>8025.0000000000009</v>
      </c>
      <c r="G28" s="151" t="s">
        <v>15</v>
      </c>
      <c r="I28" s="2"/>
      <c r="K28" s="148">
        <f>K20</f>
        <v>2300</v>
      </c>
      <c r="L28" s="148">
        <f t="shared" ref="L28" si="18">L20</f>
        <v>3200</v>
      </c>
      <c r="M28" s="159">
        <v>7500</v>
      </c>
      <c r="N28" s="11"/>
    </row>
    <row r="29" spans="2:15" s="7" customFormat="1" ht="33" thickBot="1">
      <c r="B29" s="12" t="s">
        <v>14</v>
      </c>
      <c r="C29" s="13" t="s">
        <v>22</v>
      </c>
      <c r="D29" s="149"/>
      <c r="E29" s="149"/>
      <c r="F29" s="160"/>
      <c r="G29" s="153"/>
      <c r="I29" s="2"/>
      <c r="K29" s="149"/>
      <c r="L29" s="149"/>
      <c r="M29" s="160"/>
      <c r="N29" s="11"/>
    </row>
    <row r="30" spans="2:15" s="7" customFormat="1" ht="32" customHeight="1">
      <c r="B30" s="62" t="s">
        <v>23</v>
      </c>
      <c r="C30" s="63" t="s">
        <v>14</v>
      </c>
      <c r="D30" s="173">
        <f t="shared" ref="D30" si="19">K30*(1+$L$10)</f>
        <v>4815</v>
      </c>
      <c r="E30" s="173">
        <f t="shared" ref="E30" si="20">L30*(1+$L$10)</f>
        <v>6018.75</v>
      </c>
      <c r="F30" s="184">
        <f t="shared" ref="F30" si="21">M30*(1+$L$10)</f>
        <v>11636.25</v>
      </c>
      <c r="G30" s="180" t="s">
        <v>17</v>
      </c>
      <c r="I30" s="2"/>
      <c r="K30" s="173">
        <f>K24*(1-25%)</f>
        <v>4500</v>
      </c>
      <c r="L30" s="173">
        <f>L24*(1-25%)</f>
        <v>5625</v>
      </c>
      <c r="M30" s="178">
        <f>M24*(1-25%)</f>
        <v>10875</v>
      </c>
      <c r="O30" s="11"/>
    </row>
    <row r="31" spans="2:15" s="7" customFormat="1" ht="33" thickBot="1">
      <c r="B31" s="64" t="s">
        <v>14</v>
      </c>
      <c r="C31" s="65" t="s">
        <v>23</v>
      </c>
      <c r="D31" s="174"/>
      <c r="E31" s="174"/>
      <c r="F31" s="185"/>
      <c r="G31" s="181"/>
      <c r="I31" s="2"/>
      <c r="K31" s="174"/>
      <c r="L31" s="174"/>
      <c r="M31" s="179"/>
    </row>
    <row r="32" spans="2:15" s="7" customFormat="1" ht="32" customHeight="1">
      <c r="B32" s="9" t="s">
        <v>24</v>
      </c>
      <c r="C32" s="10" t="s">
        <v>14</v>
      </c>
      <c r="D32" s="148">
        <f t="shared" ref="D32" si="22">K32*(1+$L$10)</f>
        <v>6955</v>
      </c>
      <c r="E32" s="148">
        <f t="shared" ref="E32" si="23">L32*(1+$L$10)</f>
        <v>8560</v>
      </c>
      <c r="F32" s="182">
        <f>M32*(1+$L$10)</f>
        <v>16050.000000000002</v>
      </c>
      <c r="G32" s="151" t="s">
        <v>15</v>
      </c>
      <c r="I32" s="2"/>
      <c r="K32" s="148">
        <v>6500</v>
      </c>
      <c r="L32" s="148">
        <v>8000</v>
      </c>
      <c r="M32" s="182">
        <v>15000</v>
      </c>
    </row>
    <row r="33" spans="2:13" s="7" customFormat="1" ht="33" thickBot="1">
      <c r="B33" s="12" t="s">
        <v>14</v>
      </c>
      <c r="C33" s="13" t="s">
        <v>24</v>
      </c>
      <c r="D33" s="149"/>
      <c r="E33" s="149"/>
      <c r="F33" s="183"/>
      <c r="G33" s="153"/>
      <c r="I33" s="2"/>
      <c r="K33" s="149"/>
      <c r="L33" s="149"/>
      <c r="M33" s="183"/>
    </row>
    <row r="34" spans="2:13" ht="152" customHeight="1" thickBot="1">
      <c r="B34"/>
      <c r="C34"/>
      <c r="D34"/>
      <c r="E34"/>
      <c r="F34" s="76"/>
      <c r="G34"/>
    </row>
    <row r="35" spans="2:13" ht="24" customHeight="1" thickBot="1">
      <c r="B35" s="156" t="s">
        <v>25</v>
      </c>
      <c r="C35" s="157"/>
      <c r="D35" s="157"/>
      <c r="E35" s="157"/>
      <c r="F35" s="157"/>
      <c r="G35" s="158"/>
    </row>
    <row r="36" spans="2:13" s="7" customFormat="1" ht="30" customHeight="1" thickBot="1">
      <c r="B36" s="176" t="s">
        <v>9</v>
      </c>
      <c r="C36" s="177"/>
      <c r="D36" s="59" t="s">
        <v>10</v>
      </c>
      <c r="E36" s="59" t="s">
        <v>59</v>
      </c>
      <c r="F36" s="60" t="s">
        <v>60</v>
      </c>
      <c r="G36" s="61" t="s">
        <v>12</v>
      </c>
      <c r="I36" s="2"/>
      <c r="K36" s="59" t="s">
        <v>10</v>
      </c>
      <c r="L36" s="59" t="s">
        <v>59</v>
      </c>
      <c r="M36" s="60" t="s">
        <v>60</v>
      </c>
    </row>
    <row r="37" spans="2:13" s="7" customFormat="1" ht="24" customHeight="1">
      <c r="B37" s="9" t="s">
        <v>26</v>
      </c>
      <c r="C37" s="10" t="s">
        <v>14</v>
      </c>
      <c r="D37" s="148">
        <f t="shared" ref="D37" si="24">K37*(1+$L$10)</f>
        <v>6955</v>
      </c>
      <c r="E37" s="148">
        <f t="shared" ref="E37" si="25">L37*(1+$L$10)</f>
        <v>8025.0000000000009</v>
      </c>
      <c r="F37" s="159">
        <f t="shared" ref="F37" si="26">M37*(1+$L$10)</f>
        <v>15515</v>
      </c>
      <c r="G37" s="151" t="s">
        <v>27</v>
      </c>
      <c r="I37" s="2"/>
      <c r="K37" s="148">
        <f>K16</f>
        <v>6500</v>
      </c>
      <c r="L37" s="148">
        <f>L16</f>
        <v>7500</v>
      </c>
      <c r="M37" s="159">
        <f>M16</f>
        <v>14500</v>
      </c>
    </row>
    <row r="38" spans="2:13" s="7" customFormat="1" ht="24" customHeight="1" thickBot="1">
      <c r="B38" s="12" t="s">
        <v>14</v>
      </c>
      <c r="C38" s="13" t="s">
        <v>26</v>
      </c>
      <c r="D38" s="149"/>
      <c r="E38" s="149"/>
      <c r="F38" s="160"/>
      <c r="G38" s="153"/>
      <c r="I38" s="2"/>
      <c r="K38" s="149"/>
      <c r="L38" s="149"/>
      <c r="M38" s="160"/>
    </row>
    <row r="39" spans="2:13" s="7" customFormat="1" ht="24" customHeight="1">
      <c r="B39" s="62" t="s">
        <v>28</v>
      </c>
      <c r="C39" s="63" t="s">
        <v>14</v>
      </c>
      <c r="D39" s="173">
        <f t="shared" ref="D39" si="27">K39*(1+$L$10)</f>
        <v>3531</v>
      </c>
      <c r="E39" s="178">
        <f t="shared" ref="E39" si="28">L39*(1+$L$10)</f>
        <v>4494</v>
      </c>
      <c r="F39" s="178">
        <f t="shared" ref="F39" si="29">M39*(1+$L$10)</f>
        <v>9630</v>
      </c>
      <c r="G39" s="180" t="s">
        <v>29</v>
      </c>
      <c r="I39" s="2"/>
      <c r="K39" s="173">
        <f>K20+1000</f>
        <v>3300</v>
      </c>
      <c r="L39" s="178">
        <f>L20+1000</f>
        <v>4200</v>
      </c>
      <c r="M39" s="178">
        <v>9000</v>
      </c>
    </row>
    <row r="40" spans="2:13" s="7" customFormat="1" ht="24" customHeight="1" thickBot="1">
      <c r="B40" s="64" t="s">
        <v>14</v>
      </c>
      <c r="C40" s="65" t="s">
        <v>28</v>
      </c>
      <c r="D40" s="174"/>
      <c r="E40" s="179"/>
      <c r="F40" s="179"/>
      <c r="G40" s="181"/>
      <c r="I40" s="2"/>
      <c r="K40" s="174"/>
      <c r="L40" s="179"/>
      <c r="M40" s="179"/>
    </row>
    <row r="41" spans="2:13" s="7" customFormat="1" ht="32" customHeight="1">
      <c r="B41" s="9" t="s">
        <v>30</v>
      </c>
      <c r="C41" s="10" t="s">
        <v>14</v>
      </c>
      <c r="D41" s="148">
        <f t="shared" ref="D41" si="30">K41*(1+$L$10)</f>
        <v>6420</v>
      </c>
      <c r="E41" s="148">
        <f t="shared" ref="E41" si="31">L41*(1+$L$10)</f>
        <v>8025.0000000000009</v>
      </c>
      <c r="F41" s="159">
        <f t="shared" ref="F41" si="32">M41*(1+$L$10)</f>
        <v>15515</v>
      </c>
      <c r="G41" s="151" t="s">
        <v>31</v>
      </c>
      <c r="I41" s="2"/>
      <c r="K41" s="148">
        <f>K24</f>
        <v>6000</v>
      </c>
      <c r="L41" s="148">
        <f>L24</f>
        <v>7500</v>
      </c>
      <c r="M41" s="159">
        <f>M24</f>
        <v>14500</v>
      </c>
    </row>
    <row r="42" spans="2:13" s="7" customFormat="1" ht="33" thickBot="1">
      <c r="B42" s="12" t="s">
        <v>14</v>
      </c>
      <c r="C42" s="13" t="s">
        <v>30</v>
      </c>
      <c r="D42" s="149"/>
      <c r="E42" s="149"/>
      <c r="F42" s="160"/>
      <c r="G42" s="153"/>
      <c r="I42" s="2"/>
      <c r="K42" s="149"/>
      <c r="L42" s="149"/>
      <c r="M42" s="160"/>
    </row>
    <row r="43" spans="2:13" s="7" customFormat="1" ht="32" customHeight="1">
      <c r="B43" s="62" t="s">
        <v>32</v>
      </c>
      <c r="C43" s="63" t="s">
        <v>14</v>
      </c>
      <c r="D43" s="173">
        <f t="shared" ref="D43" si="33">K43*(1+$L$10)</f>
        <v>7490</v>
      </c>
      <c r="E43" s="173">
        <f t="shared" ref="E43" si="34">L43*(1+$L$10)</f>
        <v>9095</v>
      </c>
      <c r="F43" s="178">
        <f t="shared" ref="F43" si="35">M43*(1+$L$10)</f>
        <v>17120</v>
      </c>
      <c r="G43" s="180" t="s">
        <v>33</v>
      </c>
      <c r="I43" s="2"/>
      <c r="K43" s="173">
        <v>7000</v>
      </c>
      <c r="L43" s="173">
        <v>8500</v>
      </c>
      <c r="M43" s="178">
        <v>16000</v>
      </c>
    </row>
    <row r="44" spans="2:13" s="7" customFormat="1" ht="33" thickBot="1">
      <c r="B44" s="64" t="s">
        <v>14</v>
      </c>
      <c r="C44" s="65" t="s">
        <v>32</v>
      </c>
      <c r="D44" s="174"/>
      <c r="E44" s="174"/>
      <c r="F44" s="179"/>
      <c r="G44" s="181"/>
      <c r="I44" s="2"/>
      <c r="K44" s="174"/>
      <c r="L44" s="174"/>
      <c r="M44" s="179"/>
    </row>
    <row r="45" spans="2:13" s="7" customFormat="1" ht="24" customHeight="1">
      <c r="B45" s="9" t="s">
        <v>34</v>
      </c>
      <c r="C45" s="10" t="s">
        <v>14</v>
      </c>
      <c r="D45" s="148">
        <f t="shared" ref="D45" si="36">K45*(1+$L$10)</f>
        <v>9630</v>
      </c>
      <c r="E45" s="148">
        <f t="shared" ref="E45" si="37">L45*(1+$L$10)</f>
        <v>12037.5</v>
      </c>
      <c r="F45" s="159">
        <f t="shared" ref="F45" si="38">M45*(1+$L$10)</f>
        <v>23272.5</v>
      </c>
      <c r="G45" s="151" t="s">
        <v>35</v>
      </c>
      <c r="H45" s="11"/>
      <c r="I45" s="2"/>
      <c r="K45" s="148">
        <f>K22</f>
        <v>9000</v>
      </c>
      <c r="L45" s="148">
        <f>L22</f>
        <v>11250</v>
      </c>
      <c r="M45" s="159">
        <f>M22</f>
        <v>21750</v>
      </c>
    </row>
    <row r="46" spans="2:13" s="7" customFormat="1" ht="24" customHeight="1" thickBot="1">
      <c r="B46" s="12" t="s">
        <v>14</v>
      </c>
      <c r="C46" s="13" t="s">
        <v>34</v>
      </c>
      <c r="D46" s="149"/>
      <c r="E46" s="149"/>
      <c r="F46" s="160"/>
      <c r="G46" s="153"/>
      <c r="I46" s="2"/>
      <c r="K46" s="149"/>
      <c r="L46" s="149"/>
      <c r="M46" s="160"/>
    </row>
    <row r="47" spans="2:13" s="7" customFormat="1" ht="24" customHeight="1">
      <c r="B47" s="62" t="s">
        <v>36</v>
      </c>
      <c r="C47" s="63" t="s">
        <v>14</v>
      </c>
      <c r="D47" s="173">
        <f t="shared" ref="D47" si="39">K47*(1+$L$10)</f>
        <v>2354</v>
      </c>
      <c r="E47" s="173">
        <f t="shared" ref="E47" si="40">L47*(1+$L$10)</f>
        <v>2889</v>
      </c>
      <c r="F47" s="178">
        <f t="shared" ref="F47" si="41">M47*(1+$L$10)</f>
        <v>6848</v>
      </c>
      <c r="G47" s="180" t="s">
        <v>37</v>
      </c>
      <c r="I47" s="2"/>
      <c r="K47" s="173">
        <v>2200</v>
      </c>
      <c r="L47" s="173">
        <v>2700</v>
      </c>
      <c r="M47" s="178">
        <v>6400</v>
      </c>
    </row>
    <row r="48" spans="2:13" s="7" customFormat="1" ht="24" customHeight="1" thickBot="1">
      <c r="B48" s="64" t="s">
        <v>14</v>
      </c>
      <c r="C48" s="65" t="s">
        <v>36</v>
      </c>
      <c r="D48" s="174"/>
      <c r="E48" s="174"/>
      <c r="F48" s="179"/>
      <c r="G48" s="181"/>
      <c r="I48" s="2"/>
      <c r="K48" s="174"/>
      <c r="L48" s="174"/>
      <c r="M48" s="179"/>
    </row>
    <row r="49" spans="2:13" s="7" customFormat="1" ht="24" customHeight="1">
      <c r="B49" s="9" t="s">
        <v>38</v>
      </c>
      <c r="C49" s="10" t="s">
        <v>14</v>
      </c>
      <c r="D49" s="148">
        <f t="shared" ref="D49" si="42">K49*(1+$L$10)</f>
        <v>6420</v>
      </c>
      <c r="E49" s="148">
        <f t="shared" ref="E49" si="43">L49*(1+$L$10)</f>
        <v>8025.0000000000009</v>
      </c>
      <c r="F49" s="159">
        <f t="shared" ref="F49" si="44">M49*(1+$L$10)</f>
        <v>15515</v>
      </c>
      <c r="G49" s="151" t="s">
        <v>39</v>
      </c>
      <c r="I49" s="2"/>
      <c r="K49" s="148">
        <f>K41</f>
        <v>6000</v>
      </c>
      <c r="L49" s="148">
        <f>L41</f>
        <v>7500</v>
      </c>
      <c r="M49" s="159">
        <f>M41</f>
        <v>14500</v>
      </c>
    </row>
    <row r="50" spans="2:13" s="7" customFormat="1" ht="24" customHeight="1" thickBot="1">
      <c r="B50" s="12" t="s">
        <v>14</v>
      </c>
      <c r="C50" s="13" t="s">
        <v>38</v>
      </c>
      <c r="D50" s="149"/>
      <c r="E50" s="149"/>
      <c r="F50" s="160"/>
      <c r="G50" s="153"/>
      <c r="I50" s="2"/>
      <c r="K50" s="149"/>
      <c r="L50" s="149"/>
      <c r="M50" s="160"/>
    </row>
    <row r="51" spans="2:13" s="7" customFormat="1" ht="24" customHeight="1">
      <c r="B51" s="62" t="s">
        <v>40</v>
      </c>
      <c r="C51" s="63" t="s">
        <v>14</v>
      </c>
      <c r="D51" s="173">
        <f t="shared" ref="D51" si="45">K51*(1+$L$10)</f>
        <v>9630</v>
      </c>
      <c r="E51" s="173">
        <f t="shared" ref="E51" si="46">L51*(1+$L$10)</f>
        <v>12037.5</v>
      </c>
      <c r="F51" s="178">
        <f t="shared" ref="F51" si="47">M51*(1+$L$10)</f>
        <v>23272.5</v>
      </c>
      <c r="G51" s="180" t="s">
        <v>41</v>
      </c>
      <c r="I51" s="2"/>
      <c r="K51" s="173">
        <f>K22</f>
        <v>9000</v>
      </c>
      <c r="L51" s="173">
        <f>L22</f>
        <v>11250</v>
      </c>
      <c r="M51" s="178">
        <f>M22</f>
        <v>21750</v>
      </c>
    </row>
    <row r="52" spans="2:13" s="7" customFormat="1" ht="24" customHeight="1" thickBot="1">
      <c r="B52" s="64" t="s">
        <v>14</v>
      </c>
      <c r="C52" s="65" t="s">
        <v>40</v>
      </c>
      <c r="D52" s="174"/>
      <c r="E52" s="174"/>
      <c r="F52" s="179"/>
      <c r="G52" s="181"/>
      <c r="I52" s="2"/>
      <c r="K52" s="174"/>
      <c r="L52" s="174"/>
      <c r="M52" s="179"/>
    </row>
    <row r="53" spans="2:13" s="7" customFormat="1" ht="24" customHeight="1">
      <c r="B53" s="9" t="s">
        <v>42</v>
      </c>
      <c r="C53" s="10" t="s">
        <v>14</v>
      </c>
      <c r="D53" s="148">
        <f t="shared" ref="D53" si="48">K53*(1+$L$10)</f>
        <v>2461</v>
      </c>
      <c r="E53" s="148">
        <f t="shared" ref="E53" si="49">L53*(1+$L$10)</f>
        <v>3424</v>
      </c>
      <c r="F53" s="159">
        <f t="shared" ref="F53" si="50">M53*(1+$L$10)</f>
        <v>8025.0000000000009</v>
      </c>
      <c r="G53" s="151" t="s">
        <v>43</v>
      </c>
      <c r="I53" s="2"/>
      <c r="K53" s="148">
        <f>K20</f>
        <v>2300</v>
      </c>
      <c r="L53" s="148">
        <f>L20</f>
        <v>3200</v>
      </c>
      <c r="M53" s="159">
        <f>M20</f>
        <v>7500</v>
      </c>
    </row>
    <row r="54" spans="2:13" s="7" customFormat="1" ht="24" customHeight="1" thickBot="1">
      <c r="B54" s="12" t="s">
        <v>14</v>
      </c>
      <c r="C54" s="13" t="s">
        <v>42</v>
      </c>
      <c r="D54" s="149"/>
      <c r="E54" s="149"/>
      <c r="F54" s="160"/>
      <c r="G54" s="153"/>
      <c r="I54" s="2"/>
      <c r="K54" s="149"/>
      <c r="L54" s="149"/>
      <c r="M54" s="160"/>
    </row>
    <row r="55" spans="2:13" s="7" customFormat="1" ht="24" customHeight="1">
      <c r="B55" s="62" t="s">
        <v>44</v>
      </c>
      <c r="C55" s="63" t="s">
        <v>14</v>
      </c>
      <c r="D55" s="173">
        <f t="shared" ref="D55" si="51">K55*(1+$L$10)</f>
        <v>6420</v>
      </c>
      <c r="E55" s="173">
        <f t="shared" ref="E55" si="52">L55*(1+$L$10)</f>
        <v>8025.0000000000009</v>
      </c>
      <c r="F55" s="178">
        <f t="shared" ref="F55" si="53">M55*(1+$L$10)</f>
        <v>15515</v>
      </c>
      <c r="G55" s="180" t="s">
        <v>45</v>
      </c>
      <c r="I55" s="2"/>
      <c r="K55" s="173">
        <f>K41</f>
        <v>6000</v>
      </c>
      <c r="L55" s="173">
        <f>L41</f>
        <v>7500</v>
      </c>
      <c r="M55" s="178">
        <f>M41</f>
        <v>14500</v>
      </c>
    </row>
    <row r="56" spans="2:13" s="7" customFormat="1" ht="24" customHeight="1" thickBot="1">
      <c r="B56" s="64" t="s">
        <v>14</v>
      </c>
      <c r="C56" s="65" t="s">
        <v>44</v>
      </c>
      <c r="D56" s="174"/>
      <c r="E56" s="174"/>
      <c r="F56" s="179"/>
      <c r="G56" s="181"/>
      <c r="I56" s="2"/>
      <c r="K56" s="174"/>
      <c r="L56" s="174"/>
      <c r="M56" s="179"/>
    </row>
    <row r="57" spans="2:13" s="7" customFormat="1" ht="24" customHeight="1">
      <c r="B57" s="9" t="s">
        <v>46</v>
      </c>
      <c r="C57" s="10" t="s">
        <v>14</v>
      </c>
      <c r="D57" s="148">
        <f t="shared" ref="D57" si="54">K57*(1+$L$10)</f>
        <v>11074.5</v>
      </c>
      <c r="E57" s="148">
        <f t="shared" ref="E57" si="55">L57*(1+$L$10)</f>
        <v>13843.124999999998</v>
      </c>
      <c r="F57" s="159">
        <f t="shared" ref="F57" si="56">M57*(1+$L$10)</f>
        <v>26763.374999999996</v>
      </c>
      <c r="G57" s="151" t="s">
        <v>47</v>
      </c>
      <c r="I57" s="2"/>
      <c r="K57" s="148">
        <f>K51*(1+15%)</f>
        <v>10350</v>
      </c>
      <c r="L57" s="148">
        <f>L51*(1+15%)</f>
        <v>12937.499999999998</v>
      </c>
      <c r="M57" s="159">
        <f>M51*(1+15%)</f>
        <v>25012.499999999996</v>
      </c>
    </row>
    <row r="58" spans="2:13" s="7" customFormat="1" ht="24" customHeight="1" thickBot="1">
      <c r="B58" s="12" t="s">
        <v>14</v>
      </c>
      <c r="C58" s="13" t="s">
        <v>46</v>
      </c>
      <c r="D58" s="149"/>
      <c r="E58" s="149"/>
      <c r="F58" s="160"/>
      <c r="G58" s="153"/>
      <c r="I58" s="2"/>
      <c r="K58" s="149"/>
      <c r="L58" s="149"/>
      <c r="M58" s="160"/>
    </row>
    <row r="59" spans="2:13" s="7" customFormat="1" ht="24" customHeight="1">
      <c r="B59" s="62" t="s">
        <v>48</v>
      </c>
      <c r="C59" s="63" t="s">
        <v>14</v>
      </c>
      <c r="D59" s="173">
        <f t="shared" ref="D59" si="57">K59*(1+$L$10)</f>
        <v>2461</v>
      </c>
      <c r="E59" s="173">
        <f t="shared" ref="E59" si="58">L59*(1+$L$10)</f>
        <v>3424</v>
      </c>
      <c r="F59" s="178">
        <f t="shared" ref="F59" si="59">M59*(1+$L$10)</f>
        <v>8025.0000000000009</v>
      </c>
      <c r="G59" s="180" t="s">
        <v>49</v>
      </c>
      <c r="I59" s="2"/>
      <c r="K59" s="178">
        <f>K28</f>
        <v>2300</v>
      </c>
      <c r="L59" s="173">
        <f>L28</f>
        <v>3200</v>
      </c>
      <c r="M59" s="178">
        <f>M28</f>
        <v>7500</v>
      </c>
    </row>
    <row r="60" spans="2:13" s="7" customFormat="1" ht="24" customHeight="1" thickBot="1">
      <c r="B60" s="64" t="s">
        <v>14</v>
      </c>
      <c r="C60" s="65" t="s">
        <v>48</v>
      </c>
      <c r="D60" s="174"/>
      <c r="E60" s="174"/>
      <c r="F60" s="179"/>
      <c r="G60" s="181"/>
      <c r="I60" s="2"/>
      <c r="K60" s="179"/>
      <c r="L60" s="174"/>
      <c r="M60" s="179"/>
    </row>
    <row r="61" spans="2:13" s="7" customFormat="1" ht="24" customHeight="1">
      <c r="B61" s="9" t="s">
        <v>50</v>
      </c>
      <c r="C61" s="10" t="s">
        <v>14</v>
      </c>
      <c r="D61" s="148">
        <f t="shared" ref="D61" si="60">K61*(1+$L$10)</f>
        <v>2996</v>
      </c>
      <c r="E61" s="148">
        <f t="shared" ref="E61" si="61">L61*(1+$L$10)</f>
        <v>4280</v>
      </c>
      <c r="F61" s="159">
        <f t="shared" ref="F61" si="62">M61*(1+$L$10)</f>
        <v>9951</v>
      </c>
      <c r="G61" s="151" t="s">
        <v>51</v>
      </c>
      <c r="I61" s="2"/>
      <c r="K61" s="148">
        <v>2800</v>
      </c>
      <c r="L61" s="148">
        <f>L59*(1+25%)</f>
        <v>4000</v>
      </c>
      <c r="M61" s="159">
        <v>9300</v>
      </c>
    </row>
    <row r="62" spans="2:13" s="7" customFormat="1" ht="24" customHeight="1" thickBot="1">
      <c r="B62" s="12" t="s">
        <v>14</v>
      </c>
      <c r="C62" s="13" t="s">
        <v>50</v>
      </c>
      <c r="D62" s="149"/>
      <c r="E62" s="149"/>
      <c r="F62" s="160"/>
      <c r="G62" s="153"/>
      <c r="I62" s="2"/>
      <c r="K62" s="149"/>
      <c r="L62" s="149"/>
      <c r="M62" s="160"/>
    </row>
    <row r="63" spans="2:13" s="7" customFormat="1" ht="24" customHeight="1">
      <c r="B63" s="62" t="s">
        <v>52</v>
      </c>
      <c r="C63" s="63" t="s">
        <v>14</v>
      </c>
      <c r="D63" s="173">
        <f t="shared" ref="D63" si="63">K63*(1+$L$10)</f>
        <v>4815</v>
      </c>
      <c r="E63" s="173">
        <f t="shared" ref="E63" si="64">L63*(1+$L$10)</f>
        <v>6018.75</v>
      </c>
      <c r="F63" s="178">
        <f t="shared" ref="F63" si="65">M63*(1+$L$10)</f>
        <v>11636.25</v>
      </c>
      <c r="G63" s="180" t="s">
        <v>53</v>
      </c>
      <c r="I63" s="2"/>
      <c r="K63" s="173">
        <f>K30</f>
        <v>4500</v>
      </c>
      <c r="L63" s="173">
        <f>L30</f>
        <v>5625</v>
      </c>
      <c r="M63" s="178">
        <f>M30</f>
        <v>10875</v>
      </c>
    </row>
    <row r="64" spans="2:13" s="7" customFormat="1" ht="24" customHeight="1" thickBot="1">
      <c r="B64" s="64" t="s">
        <v>14</v>
      </c>
      <c r="C64" s="65" t="s">
        <v>52</v>
      </c>
      <c r="D64" s="174"/>
      <c r="E64" s="174"/>
      <c r="F64" s="179"/>
      <c r="G64" s="181"/>
      <c r="I64" s="2"/>
      <c r="K64" s="174"/>
      <c r="L64" s="174"/>
      <c r="M64" s="179"/>
    </row>
    <row r="65" spans="2:13" s="7" customFormat="1" ht="24" customHeight="1">
      <c r="B65" s="9" t="s">
        <v>54</v>
      </c>
      <c r="C65" s="10" t="s">
        <v>14</v>
      </c>
      <c r="D65" s="148">
        <f t="shared" ref="D65" si="66">K65*(1+$L$10)</f>
        <v>9630</v>
      </c>
      <c r="E65" s="148">
        <f t="shared" ref="E65" si="67">L65*(1+$L$10)</f>
        <v>12037.5</v>
      </c>
      <c r="F65" s="159">
        <f t="shared" ref="F65" si="68">M65*(1+$L$10)</f>
        <v>23272.5</v>
      </c>
      <c r="G65" s="151" t="s">
        <v>55</v>
      </c>
      <c r="I65" s="2"/>
      <c r="K65" s="148">
        <f>K51</f>
        <v>9000</v>
      </c>
      <c r="L65" s="148">
        <f>L51</f>
        <v>11250</v>
      </c>
      <c r="M65" s="159">
        <f>M51</f>
        <v>21750</v>
      </c>
    </row>
    <row r="66" spans="2:13" s="7" customFormat="1" ht="24" customHeight="1" thickBot="1">
      <c r="B66" s="12" t="s">
        <v>14</v>
      </c>
      <c r="C66" s="13" t="s">
        <v>54</v>
      </c>
      <c r="D66" s="149"/>
      <c r="E66" s="149"/>
      <c r="F66" s="160"/>
      <c r="G66" s="153"/>
      <c r="I66" s="2"/>
      <c r="K66" s="149"/>
      <c r="L66" s="149"/>
      <c r="M66" s="160"/>
    </row>
    <row r="67" spans="2:13" s="2" customFormat="1" ht="17" thickBot="1">
      <c r="B67" s="4"/>
      <c r="C67" s="4"/>
      <c r="D67" s="4"/>
      <c r="E67" s="4"/>
      <c r="F67" s="4"/>
      <c r="G67" s="4"/>
    </row>
    <row r="68" spans="2:13" s="7" customFormat="1" ht="17">
      <c r="B68" s="186" t="s">
        <v>56</v>
      </c>
      <c r="C68" s="187"/>
      <c r="D68" s="187"/>
      <c r="E68" s="187"/>
      <c r="F68" s="187"/>
      <c r="G68" s="188"/>
      <c r="I68" s="2"/>
    </row>
    <row r="69" spans="2:13" s="2" customFormat="1" ht="57" customHeight="1">
      <c r="B69" s="161" t="s">
        <v>115</v>
      </c>
      <c r="C69" s="162"/>
      <c r="D69" s="162"/>
      <c r="E69" s="162"/>
      <c r="F69" s="162"/>
      <c r="G69" s="163"/>
    </row>
    <row r="70" spans="2:13" s="2" customFormat="1" ht="65" customHeight="1" thickBot="1">
      <c r="B70" s="164" t="s">
        <v>135</v>
      </c>
      <c r="C70" s="165"/>
      <c r="D70" s="165"/>
      <c r="E70" s="165"/>
      <c r="F70" s="165"/>
      <c r="G70" s="166"/>
    </row>
    <row r="71" spans="2:13" s="2" customFormat="1" ht="16">
      <c r="B71" s="4"/>
      <c r="C71" s="4"/>
      <c r="D71" s="4"/>
      <c r="E71" s="4"/>
      <c r="F71" s="4"/>
      <c r="G71" s="4"/>
    </row>
    <row r="72" spans="2:13" s="2" customFormat="1" ht="16">
      <c r="B72" s="4"/>
      <c r="C72" s="4"/>
      <c r="D72" s="4"/>
      <c r="E72" s="4"/>
      <c r="F72" s="4"/>
      <c r="G72" s="4"/>
    </row>
  </sheetData>
  <mergeCells count="177">
    <mergeCell ref="M55:M56"/>
    <mergeCell ref="M57:M58"/>
    <mergeCell ref="M59:M60"/>
    <mergeCell ref="M61:M62"/>
    <mergeCell ref="M63:M64"/>
    <mergeCell ref="M65:M66"/>
    <mergeCell ref="M43:M44"/>
    <mergeCell ref="M45:M46"/>
    <mergeCell ref="M47:M48"/>
    <mergeCell ref="M49:M50"/>
    <mergeCell ref="M51:M52"/>
    <mergeCell ref="M53:M54"/>
    <mergeCell ref="M28:M29"/>
    <mergeCell ref="M30:M31"/>
    <mergeCell ref="M32:M33"/>
    <mergeCell ref="M37:M38"/>
    <mergeCell ref="M39:M40"/>
    <mergeCell ref="M41:M42"/>
    <mergeCell ref="M16:M17"/>
    <mergeCell ref="M18:M19"/>
    <mergeCell ref="M20:M21"/>
    <mergeCell ref="M22:M23"/>
    <mergeCell ref="M24:M25"/>
    <mergeCell ref="M26:M27"/>
    <mergeCell ref="B69:G69"/>
    <mergeCell ref="B70:G70"/>
    <mergeCell ref="G16:G17"/>
    <mergeCell ref="F16:F17"/>
    <mergeCell ref="F18:F19"/>
    <mergeCell ref="F20:F21"/>
    <mergeCell ref="F22:F23"/>
    <mergeCell ref="G18:G19"/>
    <mergeCell ref="G20:G21"/>
    <mergeCell ref="G22:G23"/>
    <mergeCell ref="D65:D66"/>
    <mergeCell ref="E65:E66"/>
    <mergeCell ref="D57:D58"/>
    <mergeCell ref="E57:E58"/>
    <mergeCell ref="D49:D50"/>
    <mergeCell ref="E49:E50"/>
    <mergeCell ref="D41:D42"/>
    <mergeCell ref="E41:E42"/>
    <mergeCell ref="B36:C36"/>
    <mergeCell ref="D32:D33"/>
    <mergeCell ref="E32:E33"/>
    <mergeCell ref="D24:D25"/>
    <mergeCell ref="E24:E25"/>
    <mergeCell ref="F24:F25"/>
    <mergeCell ref="K65:K66"/>
    <mergeCell ref="L65:L66"/>
    <mergeCell ref="B68:G68"/>
    <mergeCell ref="F65:F66"/>
    <mergeCell ref="G65:G66"/>
    <mergeCell ref="D61:D62"/>
    <mergeCell ref="E61:E62"/>
    <mergeCell ref="K61:K62"/>
    <mergeCell ref="L61:L62"/>
    <mergeCell ref="D63:D64"/>
    <mergeCell ref="E63:E64"/>
    <mergeCell ref="K63:K64"/>
    <mergeCell ref="L63:L64"/>
    <mergeCell ref="F61:F62"/>
    <mergeCell ref="G61:G62"/>
    <mergeCell ref="F63:F64"/>
    <mergeCell ref="G63:G64"/>
    <mergeCell ref="K57:K58"/>
    <mergeCell ref="L57:L58"/>
    <mergeCell ref="D59:D60"/>
    <mergeCell ref="E59:E60"/>
    <mergeCell ref="K59:K60"/>
    <mergeCell ref="L59:L60"/>
    <mergeCell ref="D53:D54"/>
    <mergeCell ref="E53:E54"/>
    <mergeCell ref="K53:K54"/>
    <mergeCell ref="L53:L54"/>
    <mergeCell ref="D55:D56"/>
    <mergeCell ref="E55:E56"/>
    <mergeCell ref="K55:K56"/>
    <mergeCell ref="L55:L56"/>
    <mergeCell ref="F59:F60"/>
    <mergeCell ref="G59:G60"/>
    <mergeCell ref="F53:F54"/>
    <mergeCell ref="G53:G54"/>
    <mergeCell ref="F55:F56"/>
    <mergeCell ref="G55:G56"/>
    <mergeCell ref="F57:F58"/>
    <mergeCell ref="G57:G58"/>
    <mergeCell ref="K49:K50"/>
    <mergeCell ref="L49:L50"/>
    <mergeCell ref="D51:D52"/>
    <mergeCell ref="E51:E52"/>
    <mergeCell ref="K51:K52"/>
    <mergeCell ref="L51:L52"/>
    <mergeCell ref="D45:D46"/>
    <mergeCell ref="E45:E46"/>
    <mergeCell ref="K45:K46"/>
    <mergeCell ref="L45:L46"/>
    <mergeCell ref="D47:D48"/>
    <mergeCell ref="E47:E48"/>
    <mergeCell ref="K47:K48"/>
    <mergeCell ref="L47:L48"/>
    <mergeCell ref="F47:F48"/>
    <mergeCell ref="G47:G48"/>
    <mergeCell ref="F49:F50"/>
    <mergeCell ref="G49:G50"/>
    <mergeCell ref="F51:F52"/>
    <mergeCell ref="G51:G52"/>
    <mergeCell ref="F45:F46"/>
    <mergeCell ref="G45:G46"/>
    <mergeCell ref="K41:K42"/>
    <mergeCell ref="L41:L42"/>
    <mergeCell ref="D43:D44"/>
    <mergeCell ref="E43:E44"/>
    <mergeCell ref="K43:K44"/>
    <mergeCell ref="L43:L44"/>
    <mergeCell ref="L37:L38"/>
    <mergeCell ref="D39:D40"/>
    <mergeCell ref="E39:E40"/>
    <mergeCell ref="K39:K40"/>
    <mergeCell ref="L39:L40"/>
    <mergeCell ref="G37:G38"/>
    <mergeCell ref="G39:G40"/>
    <mergeCell ref="F37:F38"/>
    <mergeCell ref="F39:F40"/>
    <mergeCell ref="D37:D38"/>
    <mergeCell ref="E37:E38"/>
    <mergeCell ref="K37:K38"/>
    <mergeCell ref="F41:F42"/>
    <mergeCell ref="G41:G42"/>
    <mergeCell ref="F43:F44"/>
    <mergeCell ref="G43:G44"/>
    <mergeCell ref="K32:K33"/>
    <mergeCell ref="L32:L33"/>
    <mergeCell ref="B35:G35"/>
    <mergeCell ref="D28:D29"/>
    <mergeCell ref="E28:E29"/>
    <mergeCell ref="K28:K29"/>
    <mergeCell ref="L28:L29"/>
    <mergeCell ref="D30:D31"/>
    <mergeCell ref="E30:E31"/>
    <mergeCell ref="K30:K31"/>
    <mergeCell ref="L30:L31"/>
    <mergeCell ref="F28:F29"/>
    <mergeCell ref="F32:F33"/>
    <mergeCell ref="F30:F31"/>
    <mergeCell ref="G28:G29"/>
    <mergeCell ref="G32:G33"/>
    <mergeCell ref="G30:G31"/>
    <mergeCell ref="K24:K25"/>
    <mergeCell ref="L24:L25"/>
    <mergeCell ref="D26:D27"/>
    <mergeCell ref="E26:E27"/>
    <mergeCell ref="K26:K27"/>
    <mergeCell ref="L26:L27"/>
    <mergeCell ref="D20:D21"/>
    <mergeCell ref="E20:E21"/>
    <mergeCell ref="K20:K21"/>
    <mergeCell ref="L20:L21"/>
    <mergeCell ref="D22:D23"/>
    <mergeCell ref="E22:E23"/>
    <mergeCell ref="K22:K23"/>
    <mergeCell ref="L22:L23"/>
    <mergeCell ref="F26:F27"/>
    <mergeCell ref="G24:G25"/>
    <mergeCell ref="G26:G27"/>
    <mergeCell ref="K16:K17"/>
    <mergeCell ref="L16:L17"/>
    <mergeCell ref="D18:D19"/>
    <mergeCell ref="E18:E19"/>
    <mergeCell ref="K18:K19"/>
    <mergeCell ref="L18:L19"/>
    <mergeCell ref="B10:G10"/>
    <mergeCell ref="B12:G12"/>
    <mergeCell ref="B14:G14"/>
    <mergeCell ref="B15:C15"/>
    <mergeCell ref="D16:D17"/>
    <mergeCell ref="E16:E17"/>
  </mergeCells>
  <printOptions horizontalCentered="1"/>
  <pageMargins left="0.25" right="0.25" top="0.75" bottom="0.75" header="0.3" footer="0.3"/>
  <pageSetup scale="74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1B98-4B1A-494B-A9B0-917BB85CA453}">
  <sheetPr codeName="Sheet5">
    <pageSetUpPr fitToPage="1"/>
  </sheetPr>
  <dimension ref="B1:J53"/>
  <sheetViews>
    <sheetView showGridLines="0" zoomScale="170" zoomScaleNormal="170" zoomScalePageLayoutView="80" workbookViewId="0">
      <selection activeCell="G48" sqref="G48"/>
    </sheetView>
  </sheetViews>
  <sheetFormatPr baseColWidth="10" defaultColWidth="10.83203125" defaultRowHeight="16"/>
  <cols>
    <col min="1" max="1" width="3.1640625" style="2" customWidth="1"/>
    <col min="2" max="2" width="28.1640625" style="4" customWidth="1"/>
    <col min="3" max="4" width="13.33203125" style="4" customWidth="1"/>
    <col min="5" max="5" width="10.83203125" style="2"/>
    <col min="6" max="6" width="6.83203125" bestFit="1" customWidth="1"/>
    <col min="7" max="7" width="10.83203125" style="2"/>
    <col min="8" max="9" width="11" style="2" bestFit="1" customWidth="1"/>
    <col min="10" max="16384" width="10.83203125" style="2"/>
  </cols>
  <sheetData>
    <row r="1" spans="2:10" s="5" customFormat="1" ht="18" thickBot="1">
      <c r="B1" s="4"/>
      <c r="C1" s="2"/>
      <c r="D1" s="2"/>
      <c r="F1"/>
    </row>
    <row r="2" spans="2:10" ht="20" customHeight="1" thickBot="1">
      <c r="B2" s="156" t="s">
        <v>57</v>
      </c>
      <c r="C2" s="157"/>
      <c r="D2" s="157"/>
      <c r="E2" s="158"/>
    </row>
    <row r="3" spans="2:10" s="5" customFormat="1" ht="18" thickBot="1">
      <c r="B3" s="59" t="s">
        <v>58</v>
      </c>
      <c r="C3" s="59" t="s">
        <v>10</v>
      </c>
      <c r="D3" s="59" t="s">
        <v>59</v>
      </c>
      <c r="E3" s="60" t="s">
        <v>60</v>
      </c>
      <c r="F3"/>
      <c r="H3" s="59" t="s">
        <v>10</v>
      </c>
      <c r="I3" s="59" t="s">
        <v>59</v>
      </c>
      <c r="J3" s="60" t="s">
        <v>60</v>
      </c>
    </row>
    <row r="4" spans="2:10" s="7" customFormat="1" ht="17">
      <c r="B4" s="79" t="s">
        <v>61</v>
      </c>
      <c r="C4" s="80">
        <v>1386.6558000000002</v>
      </c>
      <c r="D4" s="81">
        <f>I4*(1-8%)</f>
        <v>1559.2108480000002</v>
      </c>
      <c r="E4" s="82">
        <v>2002.9440105675005</v>
      </c>
      <c r="F4"/>
      <c r="G4" s="21"/>
      <c r="H4" s="80">
        <v>1386.6558000000002</v>
      </c>
      <c r="I4" s="81">
        <v>1694.7944000000002</v>
      </c>
      <c r="J4" s="82">
        <v>2002.9440105675005</v>
      </c>
    </row>
    <row r="5" spans="2:10" s="7" customFormat="1" ht="17">
      <c r="B5" s="22" t="s">
        <v>114</v>
      </c>
      <c r="C5" s="48">
        <v>1794.9464</v>
      </c>
      <c r="D5" s="77">
        <f t="shared" ref="D5:D44" si="0">I5*(1-8%)</f>
        <v>2039.9721200000004</v>
      </c>
      <c r="E5" s="69">
        <v>3755.5200198140628</v>
      </c>
      <c r="F5"/>
      <c r="G5" s="21"/>
      <c r="H5" s="48">
        <v>1794.9464</v>
      </c>
      <c r="I5" s="77">
        <v>2217.3610000000003</v>
      </c>
      <c r="J5" s="69">
        <v>3755.5200198140628</v>
      </c>
    </row>
    <row r="6" spans="2:10" s="7" customFormat="1" ht="17">
      <c r="B6" s="79" t="s">
        <v>62</v>
      </c>
      <c r="C6" s="83">
        <v>1694.0133000000001</v>
      </c>
      <c r="D6" s="84">
        <f t="shared" si="0"/>
        <v>1842.7082040000003</v>
      </c>
      <c r="E6" s="85">
        <v>2311.0892429625001</v>
      </c>
      <c r="F6"/>
      <c r="G6" s="21"/>
      <c r="H6" s="83">
        <v>1694.0133000000001</v>
      </c>
      <c r="I6" s="84">
        <v>2002.9437000000003</v>
      </c>
      <c r="J6" s="85">
        <v>2311.0892429625001</v>
      </c>
    </row>
    <row r="7" spans="2:10" s="7" customFormat="1" ht="17">
      <c r="B7" s="22" t="s">
        <v>63</v>
      </c>
      <c r="C7" s="48">
        <v>1078.5065000000002</v>
      </c>
      <c r="D7" s="77">
        <f t="shared" si="0"/>
        <v>1275.7233360000002</v>
      </c>
      <c r="E7" s="69">
        <v>1694.7987781725003</v>
      </c>
      <c r="F7"/>
      <c r="G7" s="21"/>
      <c r="H7" s="48">
        <v>1078.5065000000002</v>
      </c>
      <c r="I7" s="77">
        <v>1386.6558000000002</v>
      </c>
      <c r="J7" s="69">
        <v>1694.7987781725003</v>
      </c>
    </row>
    <row r="8" spans="2:10" s="7" customFormat="1" ht="17">
      <c r="B8" s="79" t="s">
        <v>64</v>
      </c>
      <c r="C8" s="83">
        <v>1232.5809295800004</v>
      </c>
      <c r="D8" s="84">
        <f t="shared" si="0"/>
        <v>1559.2148759187003</v>
      </c>
      <c r="E8" s="85">
        <v>2002.9440105675005</v>
      </c>
      <c r="F8"/>
      <c r="G8" s="21"/>
      <c r="H8" s="83">
        <v>1232.5809295800004</v>
      </c>
      <c r="I8" s="84">
        <v>1694.7987781725003</v>
      </c>
      <c r="J8" s="85">
        <v>2002.9440105675005</v>
      </c>
    </row>
    <row r="9" spans="2:10" s="7" customFormat="1" ht="17">
      <c r="B9" s="22" t="s">
        <v>65</v>
      </c>
      <c r="C9" s="48">
        <v>1232.5809295800004</v>
      </c>
      <c r="D9" s="77">
        <f t="shared" si="0"/>
        <v>1559.2148759187003</v>
      </c>
      <c r="E9" s="69">
        <v>2002.9440105675005</v>
      </c>
      <c r="F9"/>
      <c r="G9" s="21"/>
      <c r="H9" s="48">
        <v>1232.5809295800004</v>
      </c>
      <c r="I9" s="77">
        <v>1694.7987781725003</v>
      </c>
      <c r="J9" s="69">
        <v>2002.9440105675005</v>
      </c>
    </row>
    <row r="10" spans="2:10" s="7" customFormat="1" ht="17">
      <c r="B10" s="79" t="s">
        <v>66</v>
      </c>
      <c r="C10" s="83">
        <v>1386.6535457774999</v>
      </c>
      <c r="D10" s="84">
        <f t="shared" si="0"/>
        <v>1559.2148759187003</v>
      </c>
      <c r="E10" s="85">
        <v>2002.9440105675005</v>
      </c>
      <c r="F10"/>
      <c r="G10" s="21"/>
      <c r="H10" s="83">
        <v>1386.6535457774999</v>
      </c>
      <c r="I10" s="84">
        <v>1694.7987781725003</v>
      </c>
      <c r="J10" s="85">
        <v>2002.9440105675005</v>
      </c>
    </row>
    <row r="11" spans="2:10" s="7" customFormat="1" ht="17">
      <c r="B11" s="22" t="s">
        <v>67</v>
      </c>
      <c r="C11" s="48">
        <v>1078.5083133825001</v>
      </c>
      <c r="D11" s="77">
        <f t="shared" si="0"/>
        <v>1275.7212621152999</v>
      </c>
      <c r="E11" s="69">
        <v>1694.7987781725003</v>
      </c>
      <c r="F11"/>
      <c r="G11" s="21"/>
      <c r="H11" s="48">
        <v>1078.5083133825001</v>
      </c>
      <c r="I11" s="77">
        <v>1386.6535457774999</v>
      </c>
      <c r="J11" s="69">
        <v>1694.7987781725003</v>
      </c>
    </row>
    <row r="12" spans="2:10" s="7" customFormat="1" ht="17">
      <c r="B12" s="79" t="s">
        <v>137</v>
      </c>
      <c r="C12" s="83">
        <v>1794.9459787008755</v>
      </c>
      <c r="D12" s="84">
        <f t="shared" si="0"/>
        <v>2039.9727959936326</v>
      </c>
      <c r="E12" s="85">
        <v>3755.5200198140628</v>
      </c>
      <c r="F12"/>
      <c r="G12" s="21"/>
      <c r="H12" s="83">
        <v>1794.9459787008755</v>
      </c>
      <c r="I12" s="84">
        <v>2217.3617347756876</v>
      </c>
      <c r="J12" s="85">
        <v>3755.5200198140628</v>
      </c>
    </row>
    <row r="13" spans="2:10" s="7" customFormat="1" ht="17">
      <c r="B13" s="22" t="s">
        <v>121</v>
      </c>
      <c r="C13" s="48">
        <v>1694.0133000000001</v>
      </c>
      <c r="D13" s="77">
        <f t="shared" si="0"/>
        <v>1842.7082040000003</v>
      </c>
      <c r="E13" s="69">
        <v>2311.0892429625001</v>
      </c>
      <c r="F13"/>
      <c r="G13" s="21"/>
      <c r="H13" s="48">
        <v>1694.0133000000001</v>
      </c>
      <c r="I13" s="77">
        <v>2002.9437000000003</v>
      </c>
      <c r="J13" s="69">
        <v>2311.0892429625001</v>
      </c>
    </row>
    <row r="14" spans="2:10" s="7" customFormat="1" ht="17">
      <c r="B14" s="79" t="s">
        <v>124</v>
      </c>
      <c r="C14" s="83">
        <v>2203.2384116242501</v>
      </c>
      <c r="D14" s="84">
        <f t="shared" si="0"/>
        <v>2520.7307160685659</v>
      </c>
      <c r="E14" s="85">
        <v>5508.0960290606254</v>
      </c>
      <c r="F14"/>
      <c r="G14" s="21"/>
      <c r="H14" s="83">
        <v>2203.2384116242501</v>
      </c>
      <c r="I14" s="84">
        <v>2739.9246913788761</v>
      </c>
      <c r="J14" s="85">
        <v>5508.0960290606254</v>
      </c>
    </row>
    <row r="15" spans="2:10" s="7" customFormat="1" ht="17">
      <c r="B15" s="22" t="s">
        <v>123</v>
      </c>
      <c r="C15" s="48">
        <v>1386.6535457774999</v>
      </c>
      <c r="D15" s="77">
        <f t="shared" si="0"/>
        <v>1559.2148759187003</v>
      </c>
      <c r="E15" s="69">
        <v>2002.9440105675005</v>
      </c>
      <c r="F15"/>
      <c r="G15" s="21"/>
      <c r="H15" s="48">
        <v>1386.6535457774999</v>
      </c>
      <c r="I15" s="77">
        <v>1694.7987781725003</v>
      </c>
      <c r="J15" s="69">
        <v>2002.9440105675005</v>
      </c>
    </row>
    <row r="16" spans="2:10" s="7" customFormat="1" ht="17">
      <c r="B16" s="79" t="s">
        <v>68</v>
      </c>
      <c r="C16" s="83">
        <v>1386.6535457774999</v>
      </c>
      <c r="D16" s="84">
        <f t="shared" si="0"/>
        <v>1559.2148759187003</v>
      </c>
      <c r="E16" s="85">
        <v>2002.9440105675005</v>
      </c>
      <c r="F16"/>
      <c r="G16" s="21"/>
      <c r="H16" s="83">
        <v>1386.6535457774999</v>
      </c>
      <c r="I16" s="84">
        <v>1694.7987781725003</v>
      </c>
      <c r="J16" s="85">
        <v>2002.9440105675005</v>
      </c>
    </row>
    <row r="17" spans="2:10" s="7" customFormat="1" ht="17">
      <c r="B17" s="22" t="s">
        <v>69</v>
      </c>
      <c r="C17" s="48">
        <v>1232.5809295800004</v>
      </c>
      <c r="D17" s="77">
        <f t="shared" si="0"/>
        <v>1559.2148759187003</v>
      </c>
      <c r="E17" s="69">
        <v>2002.9440105675005</v>
      </c>
      <c r="F17"/>
      <c r="G17" s="21"/>
      <c r="H17" s="48">
        <v>1232.5809295800004</v>
      </c>
      <c r="I17" s="77">
        <v>1694.7987781725003</v>
      </c>
      <c r="J17" s="69">
        <v>2002.9440105675005</v>
      </c>
    </row>
    <row r="18" spans="2:10" s="7" customFormat="1" ht="17">
      <c r="B18" s="79" t="s">
        <v>70</v>
      </c>
      <c r="C18" s="83">
        <v>1694.0086621920002</v>
      </c>
      <c r="D18" s="84">
        <f t="shared" si="0"/>
        <v>1842.7084897221005</v>
      </c>
      <c r="E18" s="85">
        <v>5508.0960290606254</v>
      </c>
      <c r="F18"/>
      <c r="G18" s="21"/>
      <c r="H18" s="83">
        <v>1694.0086621920002</v>
      </c>
      <c r="I18" s="84">
        <v>2002.9440105675005</v>
      </c>
      <c r="J18" s="85">
        <v>5508.0960290606254</v>
      </c>
    </row>
    <row r="19" spans="2:10" s="7" customFormat="1" ht="17">
      <c r="B19" s="22" t="s">
        <v>126</v>
      </c>
      <c r="C19" s="48">
        <v>2203.2384116242501</v>
      </c>
      <c r="D19" s="77">
        <f t="shared" si="0"/>
        <v>2520.7307160685659</v>
      </c>
      <c r="E19" s="69">
        <v>2311.0892429625001</v>
      </c>
      <c r="F19"/>
      <c r="G19" s="21"/>
      <c r="H19" s="48">
        <v>2203.2384116242501</v>
      </c>
      <c r="I19" s="77">
        <v>2739.9246913788761</v>
      </c>
      <c r="J19" s="69">
        <v>2311.0892429625001</v>
      </c>
    </row>
    <row r="20" spans="2:10" s="7" customFormat="1" ht="17">
      <c r="B20" s="79" t="s">
        <v>71</v>
      </c>
      <c r="C20" s="83">
        <v>1540.3311039847499</v>
      </c>
      <c r="D20" s="84">
        <f t="shared" si="0"/>
        <v>1700.9616828204003</v>
      </c>
      <c r="E20" s="85">
        <v>2157.0166267650002</v>
      </c>
      <c r="F20"/>
      <c r="G20" s="21"/>
      <c r="H20" s="83">
        <v>1540.3311039847499</v>
      </c>
      <c r="I20" s="84">
        <v>1848.8713943700002</v>
      </c>
      <c r="J20" s="85">
        <v>2157.0166267650002</v>
      </c>
    </row>
    <row r="21" spans="2:10" s="7" customFormat="1" ht="17">
      <c r="B21" s="22" t="s">
        <v>72</v>
      </c>
      <c r="C21" s="48">
        <v>1078.5083133825001</v>
      </c>
      <c r="D21" s="77">
        <f t="shared" si="0"/>
        <v>1275.7212621152999</v>
      </c>
      <c r="E21" s="69">
        <v>1694.7987781725003</v>
      </c>
      <c r="F21"/>
      <c r="G21" s="21"/>
      <c r="H21" s="48">
        <v>1078.5083133825001</v>
      </c>
      <c r="I21" s="77">
        <v>1386.6535457774999</v>
      </c>
      <c r="J21" s="69">
        <v>1694.7987781725003</v>
      </c>
    </row>
    <row r="22" spans="2:10" s="7" customFormat="1" ht="17">
      <c r="B22" s="79" t="s">
        <v>73</v>
      </c>
      <c r="C22" s="83">
        <v>1540.3311039847499</v>
      </c>
      <c r="D22" s="84">
        <f t="shared" si="0"/>
        <v>1700.9616828204003</v>
      </c>
      <c r="E22" s="85">
        <v>2157.0166267650002</v>
      </c>
      <c r="F22"/>
      <c r="G22" s="21"/>
      <c r="H22" s="83">
        <v>1540.3311039847499</v>
      </c>
      <c r="I22" s="84">
        <v>1848.8713943700002</v>
      </c>
      <c r="J22" s="85">
        <v>2157.0166267650002</v>
      </c>
    </row>
    <row r="23" spans="2:10" s="7" customFormat="1" ht="17">
      <c r="B23" s="22" t="s">
        <v>74</v>
      </c>
      <c r="C23" s="48">
        <v>1386.6535457774999</v>
      </c>
      <c r="D23" s="77">
        <f t="shared" si="0"/>
        <v>1559.2148759187003</v>
      </c>
      <c r="E23" s="69">
        <v>2002.9440105675005</v>
      </c>
      <c r="F23"/>
      <c r="G23" s="21"/>
      <c r="H23" s="48">
        <v>1386.6535457774999</v>
      </c>
      <c r="I23" s="77">
        <v>1694.7987781725003</v>
      </c>
      <c r="J23" s="69">
        <v>2002.9440105675005</v>
      </c>
    </row>
    <row r="24" spans="2:10" s="7" customFormat="1" ht="17">
      <c r="B24" s="79" t="s">
        <v>75</v>
      </c>
      <c r="C24" s="83">
        <v>1540.3311039847499</v>
      </c>
      <c r="D24" s="84">
        <f t="shared" si="0"/>
        <v>1700.9616828204003</v>
      </c>
      <c r="E24" s="85">
        <v>2157.0166267650002</v>
      </c>
      <c r="F24"/>
      <c r="G24" s="21"/>
      <c r="H24" s="83">
        <v>1540.3311039847499</v>
      </c>
      <c r="I24" s="84">
        <v>1848.8713943700002</v>
      </c>
      <c r="J24" s="85">
        <v>2157.0166267650002</v>
      </c>
    </row>
    <row r="25" spans="2:10" s="7" customFormat="1" ht="17">
      <c r="B25" s="22" t="s">
        <v>76</v>
      </c>
      <c r="C25" s="48">
        <v>2203.2384116242501</v>
      </c>
      <c r="D25" s="77">
        <f t="shared" si="0"/>
        <v>2520.7307160685659</v>
      </c>
      <c r="E25" s="69">
        <v>5508.0960290606254</v>
      </c>
      <c r="F25"/>
      <c r="G25" s="21"/>
      <c r="H25" s="48">
        <v>2203.2384116242501</v>
      </c>
      <c r="I25" s="77">
        <v>2739.9246913788761</v>
      </c>
      <c r="J25" s="69">
        <v>5508.0960290606254</v>
      </c>
    </row>
    <row r="26" spans="2:10" s="7" customFormat="1" ht="17">
      <c r="B26" s="79" t="s">
        <v>77</v>
      </c>
      <c r="C26" s="83">
        <v>1232.5809295800004</v>
      </c>
      <c r="D26" s="84">
        <f t="shared" si="0"/>
        <v>1559.2148759187003</v>
      </c>
      <c r="E26" s="85">
        <v>2002.9440105675005</v>
      </c>
      <c r="F26"/>
      <c r="G26" s="21"/>
      <c r="H26" s="83">
        <v>1232.5809295800004</v>
      </c>
      <c r="I26" s="84">
        <v>1694.7987781725003</v>
      </c>
      <c r="J26" s="85">
        <v>2002.9440105675005</v>
      </c>
    </row>
    <row r="27" spans="2:10" s="7" customFormat="1" ht="17">
      <c r="B27" s="22" t="s">
        <v>78</v>
      </c>
      <c r="C27" s="48">
        <v>1386.6535457774999</v>
      </c>
      <c r="D27" s="77">
        <f t="shared" si="0"/>
        <v>1559.2148759187003</v>
      </c>
      <c r="E27" s="69">
        <v>2002.9440105675005</v>
      </c>
      <c r="F27"/>
      <c r="G27" s="21"/>
      <c r="H27" s="48">
        <v>1386.6535457774999</v>
      </c>
      <c r="I27" s="77">
        <v>1694.7987781725003</v>
      </c>
      <c r="J27" s="69">
        <v>2002.9440105675005</v>
      </c>
    </row>
    <row r="28" spans="2:10" s="7" customFormat="1" ht="17">
      <c r="B28" s="79" t="s">
        <v>125</v>
      </c>
      <c r="C28" s="83">
        <v>2203.2384116242501</v>
      </c>
      <c r="D28" s="84">
        <f t="shared" si="0"/>
        <v>2520.7307160685659</v>
      </c>
      <c r="E28" s="85">
        <v>5508.0960290606254</v>
      </c>
      <c r="F28"/>
      <c r="G28" s="21"/>
      <c r="H28" s="83">
        <v>2203.2384116242501</v>
      </c>
      <c r="I28" s="84">
        <v>2739.9246913788761</v>
      </c>
      <c r="J28" s="85">
        <v>5508.0960290606254</v>
      </c>
    </row>
    <row r="29" spans="2:10" s="7" customFormat="1" ht="17">
      <c r="B29" s="22" t="s">
        <v>79</v>
      </c>
      <c r="C29" s="48">
        <v>1386.6535457774999</v>
      </c>
      <c r="D29" s="77">
        <f t="shared" si="0"/>
        <v>1559.2148759187003</v>
      </c>
      <c r="E29" s="69">
        <v>2002.9440105675005</v>
      </c>
      <c r="F29"/>
      <c r="G29" s="21"/>
      <c r="H29" s="48">
        <v>1386.6535457774999</v>
      </c>
      <c r="I29" s="77">
        <v>1694.7987781725003</v>
      </c>
      <c r="J29" s="69">
        <v>2002.9440105675005</v>
      </c>
    </row>
    <row r="30" spans="2:10" s="7" customFormat="1" ht="17">
      <c r="B30" s="79" t="s">
        <v>80</v>
      </c>
      <c r="C30" s="83">
        <v>1386.6535457774999</v>
      </c>
      <c r="D30" s="84">
        <f t="shared" si="0"/>
        <v>1559.2148759187003</v>
      </c>
      <c r="E30" s="85">
        <v>2002.9440105675005</v>
      </c>
      <c r="F30"/>
      <c r="G30" s="21"/>
      <c r="H30" s="83">
        <v>1386.6535457774999</v>
      </c>
      <c r="I30" s="84">
        <v>1694.7987781725003</v>
      </c>
      <c r="J30" s="85">
        <v>2002.9440105675005</v>
      </c>
    </row>
    <row r="31" spans="2:10" s="7" customFormat="1" ht="17">
      <c r="B31" s="22" t="s">
        <v>81</v>
      </c>
      <c r="C31" s="48">
        <v>1540.3311039847499</v>
      </c>
      <c r="D31" s="77">
        <f t="shared" si="0"/>
        <v>1700.9616828204003</v>
      </c>
      <c r="E31" s="69">
        <v>2157.0166267650002</v>
      </c>
      <c r="F31"/>
      <c r="G31" s="21"/>
      <c r="H31" s="48">
        <v>1540.3311039847499</v>
      </c>
      <c r="I31" s="77">
        <v>1848.8713943700002</v>
      </c>
      <c r="J31" s="69">
        <v>2157.0166267650002</v>
      </c>
    </row>
    <row r="32" spans="2:10" s="7" customFormat="1" ht="17">
      <c r="B32" s="79" t="s">
        <v>119</v>
      </c>
      <c r="C32" s="83">
        <v>1386.6535457774999</v>
      </c>
      <c r="D32" s="84">
        <f t="shared" si="0"/>
        <v>1559.2148759187003</v>
      </c>
      <c r="E32" s="85">
        <v>2002.9440105675005</v>
      </c>
      <c r="F32"/>
      <c r="G32" s="21"/>
      <c r="H32" s="83">
        <v>1386.6535457774999</v>
      </c>
      <c r="I32" s="84">
        <v>1694.7987781725003</v>
      </c>
      <c r="J32" s="85">
        <v>2002.9440105675005</v>
      </c>
    </row>
    <row r="33" spans="2:10" s="7" customFormat="1" ht="17">
      <c r="B33" s="22" t="s">
        <v>82</v>
      </c>
      <c r="C33" s="48">
        <v>1540.3311039847499</v>
      </c>
      <c r="D33" s="77">
        <f t="shared" si="0"/>
        <v>1700.9616828204003</v>
      </c>
      <c r="E33" s="69">
        <v>2157.0166267650002</v>
      </c>
      <c r="F33"/>
      <c r="G33" s="21"/>
      <c r="H33" s="48">
        <v>1540.3311039847499</v>
      </c>
      <c r="I33" s="77">
        <v>1848.8713943700002</v>
      </c>
      <c r="J33" s="69">
        <v>2157.0166267650002</v>
      </c>
    </row>
    <row r="34" spans="2:10" s="7" customFormat="1" ht="17">
      <c r="B34" s="79" t="s">
        <v>83</v>
      </c>
      <c r="C34" s="83">
        <v>1540.3311039847499</v>
      </c>
      <c r="D34" s="84">
        <f t="shared" si="0"/>
        <v>1700.9616828204003</v>
      </c>
      <c r="E34" s="85">
        <v>2157.0166267650002</v>
      </c>
      <c r="F34"/>
      <c r="G34" s="21"/>
      <c r="H34" s="83">
        <v>1540.3311039847499</v>
      </c>
      <c r="I34" s="84">
        <v>1848.8713943700002</v>
      </c>
      <c r="J34" s="85">
        <v>2157.0166267650002</v>
      </c>
    </row>
    <row r="35" spans="2:10" s="7" customFormat="1" ht="17">
      <c r="B35" s="22" t="s">
        <v>84</v>
      </c>
      <c r="C35" s="48">
        <v>1386.6535457774999</v>
      </c>
      <c r="D35" s="77">
        <f t="shared" si="0"/>
        <v>1559.2148759187003</v>
      </c>
      <c r="E35" s="69">
        <v>2002.9440105675005</v>
      </c>
      <c r="F35"/>
      <c r="G35" s="21"/>
      <c r="H35" s="48">
        <v>1386.6535457774999</v>
      </c>
      <c r="I35" s="77">
        <v>1694.7987781725003</v>
      </c>
      <c r="J35" s="69">
        <v>2002.9440105675005</v>
      </c>
    </row>
    <row r="36" spans="2:10" s="7" customFormat="1" ht="17">
      <c r="B36" s="79" t="s">
        <v>85</v>
      </c>
      <c r="C36" s="83">
        <v>2203.2384116242501</v>
      </c>
      <c r="D36" s="84">
        <f t="shared" si="0"/>
        <v>2520.7307160685659</v>
      </c>
      <c r="E36" s="85">
        <v>5508.0960290606254</v>
      </c>
      <c r="F36"/>
      <c r="G36" s="21"/>
      <c r="H36" s="83">
        <v>2203.2384116242501</v>
      </c>
      <c r="I36" s="84">
        <v>2739.9246913788761</v>
      </c>
      <c r="J36" s="85">
        <v>5508.0960290606254</v>
      </c>
    </row>
    <row r="37" spans="2:10" s="7" customFormat="1" ht="17">
      <c r="B37" s="22" t="s">
        <v>86</v>
      </c>
      <c r="C37" s="48">
        <v>1794.9459787008755</v>
      </c>
      <c r="D37" s="77">
        <f t="shared" si="0"/>
        <v>2039.9727959936326</v>
      </c>
      <c r="E37" s="69">
        <v>3755.5200198140628</v>
      </c>
      <c r="F37"/>
      <c r="G37" s="21"/>
      <c r="H37" s="48">
        <v>1794.9459787008755</v>
      </c>
      <c r="I37" s="77">
        <v>2217.3617347756876</v>
      </c>
      <c r="J37" s="69">
        <v>3755.5200198140628</v>
      </c>
    </row>
    <row r="38" spans="2:10" s="7" customFormat="1" ht="17">
      <c r="B38" s="79" t="s">
        <v>87</v>
      </c>
      <c r="C38" s="83">
        <v>2403.5328126810005</v>
      </c>
      <c r="D38" s="84">
        <f t="shared" si="0"/>
        <v>2749.8880538929807</v>
      </c>
      <c r="E38" s="85">
        <v>6008.8320317025018</v>
      </c>
      <c r="F38"/>
      <c r="G38" s="21"/>
      <c r="H38" s="83">
        <v>2403.5328126810005</v>
      </c>
      <c r="I38" s="84">
        <v>2989.0087542315005</v>
      </c>
      <c r="J38" s="85">
        <v>6008.8320317025018</v>
      </c>
    </row>
    <row r="39" spans="2:10" s="7" customFormat="1" ht="17">
      <c r="B39" s="22" t="s">
        <v>88</v>
      </c>
      <c r="C39" s="48">
        <v>1386.6535457774999</v>
      </c>
      <c r="D39" s="77">
        <f t="shared" si="0"/>
        <v>1559.2148759187003</v>
      </c>
      <c r="E39" s="69">
        <v>2002.9440105675005</v>
      </c>
      <c r="F39"/>
      <c r="G39" s="21"/>
      <c r="H39" s="48">
        <v>1386.6535457774999</v>
      </c>
      <c r="I39" s="77">
        <v>1694.7987781725003</v>
      </c>
      <c r="J39" s="69">
        <v>2002.9440105675005</v>
      </c>
    </row>
    <row r="40" spans="2:10" s="7" customFormat="1" ht="17">
      <c r="B40" s="79" t="s">
        <v>89</v>
      </c>
      <c r="C40" s="83">
        <v>2203.2384116242501</v>
      </c>
      <c r="D40" s="84">
        <f t="shared" si="0"/>
        <v>2520.7307160685659</v>
      </c>
      <c r="E40" s="85">
        <v>5508.0960290606254</v>
      </c>
      <c r="F40"/>
      <c r="G40" s="21"/>
      <c r="H40" s="83">
        <v>2203.2384116242501</v>
      </c>
      <c r="I40" s="84">
        <v>2739.9246913788761</v>
      </c>
      <c r="J40" s="85">
        <v>5508.0960290606254</v>
      </c>
    </row>
    <row r="41" spans="2:10" s="7" customFormat="1" ht="17">
      <c r="B41" s="22" t="s">
        <v>122</v>
      </c>
      <c r="C41" s="48">
        <v>2203.2384116242501</v>
      </c>
      <c r="D41" s="77">
        <f t="shared" si="0"/>
        <v>2520.7307160685659</v>
      </c>
      <c r="E41" s="69">
        <v>5508.0960290606254</v>
      </c>
      <c r="F41"/>
      <c r="G41" s="21"/>
      <c r="H41" s="48">
        <v>2203.2384116242501</v>
      </c>
      <c r="I41" s="77">
        <v>2739.9246913788761</v>
      </c>
      <c r="J41" s="69">
        <v>5508.0960290606254</v>
      </c>
    </row>
    <row r="42" spans="2:10" s="7" customFormat="1" ht="17">
      <c r="B42" s="79" t="s">
        <v>90</v>
      </c>
      <c r="C42" s="83">
        <v>1386.6535457774999</v>
      </c>
      <c r="D42" s="84">
        <f t="shared" si="0"/>
        <v>1559.2148759187003</v>
      </c>
      <c r="E42" s="85">
        <v>2002.9440105675005</v>
      </c>
      <c r="F42"/>
      <c r="G42" s="21"/>
      <c r="H42" s="83">
        <v>1386.6535457774999</v>
      </c>
      <c r="I42" s="84">
        <v>1694.7987781725003</v>
      </c>
      <c r="J42" s="85">
        <v>2002.9440105675005</v>
      </c>
    </row>
    <row r="43" spans="2:10" s="7" customFormat="1" ht="17">
      <c r="B43" s="22" t="s">
        <v>91</v>
      </c>
      <c r="C43" s="48">
        <v>1386.6535457774999</v>
      </c>
      <c r="D43" s="77">
        <f t="shared" si="0"/>
        <v>1559.2148759187003</v>
      </c>
      <c r="E43" s="69">
        <v>2002.9440105675005</v>
      </c>
      <c r="F43"/>
      <c r="G43" s="21"/>
      <c r="H43" s="48">
        <v>1386.6535457774999</v>
      </c>
      <c r="I43" s="77">
        <v>1694.7987781725003</v>
      </c>
      <c r="J43" s="69">
        <v>2002.9440105675005</v>
      </c>
    </row>
    <row r="44" spans="2:10" s="7" customFormat="1" ht="17">
      <c r="B44" s="79" t="s">
        <v>92</v>
      </c>
      <c r="C44" s="83">
        <v>2203.2384116242501</v>
      </c>
      <c r="D44" s="84">
        <f t="shared" si="0"/>
        <v>2520.7307160685659</v>
      </c>
      <c r="E44" s="85">
        <v>5508.0960290606254</v>
      </c>
      <c r="F44"/>
      <c r="G44" s="21"/>
      <c r="H44" s="83">
        <v>2203.2384116242501</v>
      </c>
      <c r="I44" s="84">
        <v>2739.9246913788761</v>
      </c>
      <c r="J44" s="85">
        <v>5508.0960290606254</v>
      </c>
    </row>
    <row r="45" spans="2:10" s="7" customFormat="1" ht="17">
      <c r="B45" s="22" t="s">
        <v>120</v>
      </c>
      <c r="C45" s="48">
        <v>1540.3311039847499</v>
      </c>
      <c r="D45" s="78">
        <f t="shared" ref="D45:D49" si="1">I45*(1-8%)</f>
        <v>1700.9616828204003</v>
      </c>
      <c r="E45" s="36">
        <v>2157.0166267650002</v>
      </c>
      <c r="F45"/>
      <c r="G45" s="21"/>
      <c r="H45" s="48">
        <v>1540.3311039847499</v>
      </c>
      <c r="I45" s="78">
        <v>1848.8713943700002</v>
      </c>
      <c r="J45" s="36">
        <v>2157.0166267650002</v>
      </c>
    </row>
    <row r="46" spans="2:10" s="7" customFormat="1" ht="18" thickBot="1">
      <c r="B46" s="79" t="s">
        <v>93</v>
      </c>
      <c r="C46" s="83">
        <v>2203.2384116242501</v>
      </c>
      <c r="D46" s="84">
        <f t="shared" si="1"/>
        <v>2520.7307160685659</v>
      </c>
      <c r="E46" s="85">
        <v>5508.0960290606254</v>
      </c>
      <c r="F46"/>
      <c r="G46" s="21"/>
      <c r="H46" s="83">
        <v>2203.2384116242501</v>
      </c>
      <c r="I46" s="84">
        <v>2739.9246913788761</v>
      </c>
      <c r="J46" s="85">
        <v>5508.0960290606254</v>
      </c>
    </row>
    <row r="47" spans="2:10" s="7" customFormat="1" ht="18" thickBot="1">
      <c r="B47" s="59" t="s">
        <v>58</v>
      </c>
      <c r="C47" s="59" t="s">
        <v>10</v>
      </c>
      <c r="D47" s="59" t="s">
        <v>59</v>
      </c>
      <c r="E47" s="60" t="s">
        <v>60</v>
      </c>
      <c r="F47"/>
      <c r="G47" s="21"/>
      <c r="H47" s="59" t="s">
        <v>10</v>
      </c>
      <c r="I47" s="59" t="s">
        <v>59</v>
      </c>
      <c r="J47" s="60" t="s">
        <v>60</v>
      </c>
    </row>
    <row r="48" spans="2:10" s="7" customFormat="1" ht="17">
      <c r="B48" s="22" t="s">
        <v>94</v>
      </c>
      <c r="C48" s="48">
        <v>1386.6535457774999</v>
      </c>
      <c r="D48" s="78">
        <f t="shared" si="1"/>
        <v>1559.2148759187003</v>
      </c>
      <c r="E48" s="36">
        <v>2002.9440105675005</v>
      </c>
      <c r="F48"/>
      <c r="G48" s="21"/>
      <c r="H48" s="48">
        <v>1386.6535457774999</v>
      </c>
      <c r="I48" s="78">
        <v>1694.7987781725003</v>
      </c>
      <c r="J48" s="36">
        <v>2002.9440105675005</v>
      </c>
    </row>
    <row r="49" spans="2:10" s="7" customFormat="1" ht="18" thickBot="1">
      <c r="B49" s="64" t="s">
        <v>95</v>
      </c>
      <c r="C49" s="113">
        <v>1078.5083133825001</v>
      </c>
      <c r="D49" s="114">
        <f t="shared" si="1"/>
        <v>1275.7212621152999</v>
      </c>
      <c r="E49" s="115">
        <v>1694.7987781725003</v>
      </c>
      <c r="F49"/>
      <c r="G49" s="21"/>
      <c r="H49" s="113">
        <v>1078.5083133825001</v>
      </c>
      <c r="I49" s="114">
        <v>1386.6535457774999</v>
      </c>
      <c r="J49" s="115">
        <v>1694.7987781725003</v>
      </c>
    </row>
    <row r="50" spans="2:10" s="7" customFormat="1" ht="18" thickBot="1">
      <c r="B50" s="23"/>
      <c r="C50" s="23"/>
      <c r="D50" s="23"/>
      <c r="E50" s="2"/>
      <c r="F50"/>
      <c r="G50" s="2"/>
      <c r="H50" s="2"/>
    </row>
    <row r="51" spans="2:10" s="7" customFormat="1" ht="17">
      <c r="B51" s="186" t="s">
        <v>56</v>
      </c>
      <c r="C51" s="187"/>
      <c r="D51" s="187"/>
      <c r="E51" s="188"/>
      <c r="F51"/>
      <c r="G51" s="2"/>
      <c r="H51" s="2"/>
    </row>
    <row r="52" spans="2:10" ht="70" customHeight="1">
      <c r="B52" s="161" t="s">
        <v>116</v>
      </c>
      <c r="C52" s="162"/>
      <c r="D52" s="162"/>
      <c r="E52" s="163"/>
    </row>
    <row r="53" spans="2:10" ht="67" customHeight="1" thickBot="1">
      <c r="B53" s="189" t="s">
        <v>136</v>
      </c>
      <c r="C53" s="165"/>
      <c r="D53" s="165"/>
      <c r="E53" s="166"/>
    </row>
  </sheetData>
  <mergeCells count="4">
    <mergeCell ref="B2:E2"/>
    <mergeCell ref="B51:E51"/>
    <mergeCell ref="B52:E52"/>
    <mergeCell ref="B53:E53"/>
  </mergeCells>
  <printOptions horizontalCentered="1"/>
  <pageMargins left="0.25" right="0.25" top="0.75" bottom="0.75" header="0.3" footer="0.3"/>
  <pageSetup fitToHeight="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AB1E-5FF0-FA4E-AADC-E15D21B4B051}">
  <sheetPr codeName="Sheet3">
    <pageSetUpPr fitToPage="1"/>
  </sheetPr>
  <dimension ref="B1:N26"/>
  <sheetViews>
    <sheetView showGridLines="0" zoomScale="143" zoomScaleNormal="143" zoomScalePageLayoutView="80" workbookViewId="0">
      <selection activeCell="D26" sqref="D26"/>
    </sheetView>
  </sheetViews>
  <sheetFormatPr baseColWidth="10" defaultColWidth="10.83203125" defaultRowHeight="16"/>
  <cols>
    <col min="1" max="1" width="2.6640625" style="2" customWidth="1"/>
    <col min="2" max="2" width="27.83203125" style="4" bestFit="1" customWidth="1"/>
    <col min="3" max="4" width="14.83203125" style="4" customWidth="1"/>
    <col min="5" max="5" width="11.83203125" style="4" customWidth="1"/>
    <col min="6" max="6" width="10.83203125" style="2"/>
    <col min="7" max="7" width="9.6640625" style="2" bestFit="1" customWidth="1"/>
    <col min="8" max="8" width="11.6640625" style="2" bestFit="1" customWidth="1"/>
    <col min="9" max="9" width="14" style="2" bestFit="1" customWidth="1"/>
    <col min="10" max="10" width="10.33203125" style="2" bestFit="1" customWidth="1"/>
    <col min="11" max="11" width="11.33203125" style="2" bestFit="1" customWidth="1"/>
    <col min="12" max="16384" width="10.83203125" style="2"/>
  </cols>
  <sheetData>
    <row r="1" spans="2:14" ht="17" thickBot="1">
      <c r="B1" s="2"/>
      <c r="C1" s="2"/>
      <c r="D1" s="2"/>
      <c r="E1" s="2"/>
    </row>
    <row r="2" spans="2:14" s="5" customFormat="1" ht="20" customHeight="1" thickBot="1">
      <c r="B2" s="156" t="s">
        <v>97</v>
      </c>
      <c r="C2" s="157"/>
      <c r="D2" s="157"/>
      <c r="E2" s="158"/>
      <c r="H2" s="2"/>
      <c r="I2" s="2"/>
      <c r="J2" s="2"/>
      <c r="K2" s="2"/>
      <c r="L2" s="2"/>
      <c r="M2" s="2"/>
      <c r="N2" s="2"/>
    </row>
    <row r="3" spans="2:14" s="7" customFormat="1" ht="18" thickBot="1">
      <c r="B3" s="190" t="s">
        <v>58</v>
      </c>
      <c r="C3" s="59" t="s">
        <v>10</v>
      </c>
      <c r="D3" s="59" t="s">
        <v>59</v>
      </c>
      <c r="E3" s="60" t="s">
        <v>60</v>
      </c>
      <c r="G3" s="5"/>
      <c r="H3" s="2"/>
      <c r="I3" s="2"/>
      <c r="J3" s="2"/>
      <c r="K3" s="2"/>
      <c r="L3" s="2"/>
      <c r="M3" s="2"/>
      <c r="N3" s="2"/>
    </row>
    <row r="4" spans="2:14" s="7" customFormat="1" ht="18" thickBot="1">
      <c r="B4" s="191"/>
      <c r="C4" s="25">
        <f>I4*(1+$G$4)</f>
        <v>925.71906000000024</v>
      </c>
      <c r="D4" s="25">
        <f>J4*(1+$G$4)</f>
        <v>1271.2290150000001</v>
      </c>
      <c r="E4" s="86">
        <f>K4*(1+$G$4)</f>
        <v>1818.8341500000004</v>
      </c>
      <c r="G4" s="26">
        <v>7.0000000000000007E-2</v>
      </c>
      <c r="H4" s="2"/>
      <c r="I4" s="27">
        <v>865.15800000000013</v>
      </c>
      <c r="J4" s="28">
        <v>1188.0645</v>
      </c>
      <c r="K4" s="29">
        <v>1699.8450000000003</v>
      </c>
      <c r="L4" s="2"/>
      <c r="M4" s="2"/>
      <c r="N4" s="2"/>
    </row>
    <row r="5" spans="2:14" s="7" customFormat="1" ht="18" thickBot="1">
      <c r="B5" s="110" t="s">
        <v>14</v>
      </c>
      <c r="C5" s="192" t="s">
        <v>98</v>
      </c>
      <c r="D5" s="193"/>
      <c r="E5" s="194"/>
      <c r="G5" s="5"/>
      <c r="H5" s="2"/>
      <c r="I5" s="195" t="s">
        <v>99</v>
      </c>
      <c r="J5" s="196"/>
      <c r="K5" s="197"/>
      <c r="L5" s="2"/>
      <c r="M5" s="2"/>
      <c r="N5" s="2"/>
    </row>
    <row r="6" spans="2:14" s="7" customFormat="1" ht="18" thickBot="1">
      <c r="B6" s="30" t="s">
        <v>100</v>
      </c>
      <c r="C6" s="195" t="s">
        <v>101</v>
      </c>
      <c r="D6" s="196"/>
      <c r="E6" s="197"/>
      <c r="G6" s="5"/>
      <c r="H6" s="2"/>
      <c r="I6" s="198" t="s">
        <v>102</v>
      </c>
      <c r="J6" s="199"/>
      <c r="K6" s="200"/>
      <c r="L6" s="2"/>
      <c r="M6" s="2"/>
      <c r="N6" s="2"/>
    </row>
    <row r="7" spans="2:14" s="7" customFormat="1" ht="18" thickBot="1">
      <c r="B7" s="110" t="s">
        <v>36</v>
      </c>
      <c r="C7" s="192" t="s">
        <v>103</v>
      </c>
      <c r="D7" s="193"/>
      <c r="E7" s="194"/>
      <c r="G7" s="5"/>
      <c r="H7" s="2"/>
      <c r="I7" s="195" t="s">
        <v>104</v>
      </c>
      <c r="J7" s="196"/>
      <c r="K7" s="197"/>
      <c r="L7" s="2"/>
      <c r="M7" s="2"/>
      <c r="N7" s="2"/>
    </row>
    <row r="8" spans="2:14" s="7" customFormat="1" ht="18" thickBot="1">
      <c r="B8" s="30" t="s">
        <v>42</v>
      </c>
      <c r="C8" s="195" t="s">
        <v>105</v>
      </c>
      <c r="D8" s="196"/>
      <c r="E8" s="197"/>
      <c r="G8" s="5"/>
      <c r="H8" s="2"/>
      <c r="I8" s="198" t="s">
        <v>106</v>
      </c>
      <c r="J8" s="199"/>
      <c r="K8" s="200"/>
      <c r="L8" s="2"/>
      <c r="M8" s="2"/>
      <c r="N8" s="2"/>
    </row>
    <row r="9" spans="2:14" s="7" customFormat="1" ht="18" thickBot="1">
      <c r="B9" s="110" t="s">
        <v>107</v>
      </c>
      <c r="C9" s="192" t="s">
        <v>103</v>
      </c>
      <c r="D9" s="193"/>
      <c r="E9" s="194"/>
      <c r="G9" s="5"/>
      <c r="H9" s="2"/>
      <c r="I9" s="195" t="s">
        <v>104</v>
      </c>
      <c r="J9" s="196"/>
      <c r="K9" s="197"/>
      <c r="L9" s="2"/>
      <c r="M9" s="2"/>
      <c r="N9" s="2"/>
    </row>
    <row r="10" spans="2:14" s="7" customFormat="1" ht="18" thickBot="1">
      <c r="B10" s="30" t="s">
        <v>48</v>
      </c>
      <c r="C10" s="195" t="s">
        <v>108</v>
      </c>
      <c r="D10" s="196"/>
      <c r="E10" s="197"/>
      <c r="H10" s="2"/>
      <c r="I10" s="198" t="s">
        <v>104</v>
      </c>
      <c r="J10" s="199"/>
      <c r="K10" s="200"/>
      <c r="L10" s="2"/>
      <c r="M10" s="2"/>
      <c r="N10" s="2"/>
    </row>
    <row r="11" spans="2:14" ht="35" thickBot="1">
      <c r="B11" s="111" t="s">
        <v>109</v>
      </c>
      <c r="C11" s="192" t="s">
        <v>103</v>
      </c>
      <c r="D11" s="193"/>
      <c r="E11" s="194"/>
      <c r="I11" s="198" t="s">
        <v>104</v>
      </c>
      <c r="J11" s="199"/>
      <c r="K11" s="200"/>
    </row>
    <row r="12" spans="2:14" ht="18" thickBot="1">
      <c r="B12" s="201" t="s">
        <v>110</v>
      </c>
      <c r="C12" s="59" t="s">
        <v>111</v>
      </c>
      <c r="D12" s="59" t="s">
        <v>112</v>
      </c>
      <c r="E12" s="60" t="s">
        <v>113</v>
      </c>
      <c r="I12" s="24" t="s">
        <v>111</v>
      </c>
      <c r="J12" s="24" t="s">
        <v>112</v>
      </c>
      <c r="K12" s="31" t="s">
        <v>113</v>
      </c>
    </row>
    <row r="13" spans="2:14" ht="17" thickBot="1">
      <c r="B13" s="202"/>
      <c r="C13" s="25">
        <f>I13*(1+$G$4)</f>
        <v>969.92493300000001</v>
      </c>
      <c r="D13" s="25">
        <f>J13*(1+$G$4)</f>
        <v>2046.5316480000001</v>
      </c>
      <c r="E13" s="86">
        <f>K13*(1+$G$4)</f>
        <v>2770.2549952000004</v>
      </c>
      <c r="G13" s="32"/>
      <c r="I13" s="25">
        <v>906.47190000000001</v>
      </c>
      <c r="J13" s="33">
        <v>1912.6464000000001</v>
      </c>
      <c r="K13" s="25">
        <v>2589.0233600000001</v>
      </c>
    </row>
    <row r="14" spans="2:14" ht="17" thickBot="1">
      <c r="B14" s="203"/>
      <c r="C14" s="204" t="s">
        <v>98</v>
      </c>
      <c r="D14" s="205"/>
      <c r="E14" s="206"/>
      <c r="I14" s="204" t="s">
        <v>99</v>
      </c>
      <c r="J14" s="205"/>
      <c r="K14" s="206"/>
    </row>
    <row r="15" spans="2:14" ht="17" thickBot="1"/>
    <row r="16" spans="2:14" s="7" customFormat="1" ht="17">
      <c r="B16" s="207" t="s">
        <v>96</v>
      </c>
      <c r="C16" s="208"/>
      <c r="D16" s="208"/>
      <c r="E16" s="209"/>
      <c r="H16" s="2"/>
      <c r="I16" s="2"/>
      <c r="J16" s="2"/>
      <c r="K16" s="2"/>
      <c r="L16" s="2"/>
      <c r="M16" s="2"/>
      <c r="N16" s="2"/>
    </row>
    <row r="17" spans="2:10" ht="183" customHeight="1" thickBot="1">
      <c r="B17" s="164" t="s">
        <v>133</v>
      </c>
      <c r="C17" s="165"/>
      <c r="D17" s="165"/>
      <c r="E17" s="166"/>
      <c r="J17" s="32"/>
    </row>
    <row r="18" spans="2:10">
      <c r="B18" s="2"/>
      <c r="C18" s="2"/>
      <c r="D18" s="2"/>
      <c r="E18" s="2"/>
    </row>
    <row r="19" spans="2:10" ht="39" customHeight="1"/>
    <row r="22" spans="2:10">
      <c r="B22" s="2"/>
      <c r="C22" s="2"/>
      <c r="D22" s="2"/>
      <c r="E22" s="2"/>
    </row>
    <row r="23" spans="2:10" ht="18" customHeight="1">
      <c r="B23" s="2"/>
      <c r="C23" s="2"/>
      <c r="D23" s="2"/>
      <c r="E23" s="2"/>
    </row>
    <row r="24" spans="2:10" ht="18" customHeight="1">
      <c r="B24" s="2"/>
      <c r="C24" s="2"/>
      <c r="D24" s="2"/>
      <c r="E24" s="2"/>
    </row>
    <row r="25" spans="2:10" ht="18" customHeight="1">
      <c r="B25" s="2"/>
      <c r="C25" s="2"/>
      <c r="D25" s="2"/>
      <c r="E25" s="2"/>
    </row>
    <row r="26" spans="2:10" ht="15" customHeight="1"/>
  </sheetData>
  <mergeCells count="21">
    <mergeCell ref="C10:E10"/>
    <mergeCell ref="I10:K10"/>
    <mergeCell ref="C11:E11"/>
    <mergeCell ref="I11:K11"/>
    <mergeCell ref="B17:E17"/>
    <mergeCell ref="B12:B14"/>
    <mergeCell ref="C14:E14"/>
    <mergeCell ref="I14:K14"/>
    <mergeCell ref="B16:E16"/>
    <mergeCell ref="C7:E7"/>
    <mergeCell ref="I7:K7"/>
    <mergeCell ref="C8:E8"/>
    <mergeCell ref="I8:K8"/>
    <mergeCell ref="C9:E9"/>
    <mergeCell ref="I9:K9"/>
    <mergeCell ref="B2:E2"/>
    <mergeCell ref="B3:B4"/>
    <mergeCell ref="C5:E5"/>
    <mergeCell ref="I5:K5"/>
    <mergeCell ref="C6:E6"/>
    <mergeCell ref="I6:K6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6077-9EA1-9A4F-A2E7-535ED735CF0D}">
  <sheetPr codeName="Sheet6">
    <pageSetUpPr fitToPage="1"/>
  </sheetPr>
  <dimension ref="B2:O72"/>
  <sheetViews>
    <sheetView showGridLines="0" topLeftCell="A34" zoomScale="180" zoomScaleNormal="180" zoomScalePageLayoutView="80" workbookViewId="0">
      <selection activeCell="D37" sqref="D37:D66"/>
    </sheetView>
  </sheetViews>
  <sheetFormatPr baseColWidth="10" defaultColWidth="10.83203125" defaultRowHeight="15"/>
  <cols>
    <col min="1" max="1" width="2.6640625" customWidth="1"/>
    <col min="2" max="3" width="26" style="1" customWidth="1"/>
    <col min="4" max="5" width="12.6640625" style="1" customWidth="1"/>
    <col min="6" max="6" width="23.1640625" style="1" customWidth="1"/>
    <col min="7" max="7" width="8.1640625" style="1" customWidth="1"/>
    <col min="8" max="8" width="6.33203125" customWidth="1"/>
    <col min="11" max="12" width="11.1640625" bestFit="1" customWidth="1"/>
    <col min="15" max="15" width="11.33203125" bestFit="1" customWidth="1"/>
  </cols>
  <sheetData>
    <row r="2" spans="2:14" s="2" customFormat="1" ht="17" customHeight="1">
      <c r="B2" s="37"/>
      <c r="C2" s="37"/>
      <c r="D2" s="37"/>
      <c r="E2" s="37"/>
      <c r="F2" s="37"/>
      <c r="G2" s="37"/>
    </row>
    <row r="3" spans="2:14" s="2" customFormat="1" ht="20">
      <c r="B3" s="37"/>
      <c r="C3" s="37"/>
      <c r="D3" s="37"/>
      <c r="E3" s="37"/>
      <c r="F3" s="45" t="s">
        <v>0</v>
      </c>
      <c r="G3" s="37"/>
    </row>
    <row r="4" spans="2:14" s="2" customFormat="1" ht="17" customHeight="1">
      <c r="B4" s="37"/>
      <c r="C4" s="37"/>
      <c r="D4" s="37"/>
      <c r="E4" s="37"/>
      <c r="F4" s="46" t="s">
        <v>1</v>
      </c>
      <c r="G4" s="37"/>
    </row>
    <row r="5" spans="2:14" s="2" customFormat="1" ht="17" customHeight="1">
      <c r="B5" s="37"/>
      <c r="C5" s="37"/>
      <c r="D5" s="37"/>
      <c r="E5" s="37"/>
      <c r="F5" s="46" t="s">
        <v>2</v>
      </c>
      <c r="G5" s="37"/>
    </row>
    <row r="6" spans="2:14" s="2" customFormat="1" ht="17">
      <c r="B6" s="37"/>
      <c r="C6" s="37"/>
      <c r="D6" s="37"/>
      <c r="E6" s="37"/>
      <c r="F6" s="46" t="s">
        <v>3</v>
      </c>
      <c r="G6" s="37"/>
    </row>
    <row r="7" spans="2:14" s="2" customFormat="1" ht="17">
      <c r="B7" s="37"/>
      <c r="C7" s="37"/>
      <c r="D7" s="37"/>
      <c r="E7" s="37"/>
      <c r="F7" s="47" t="s">
        <v>4</v>
      </c>
      <c r="G7" s="37"/>
    </row>
    <row r="8" spans="2:14" s="2" customFormat="1" ht="17">
      <c r="B8" s="38"/>
      <c r="C8" s="38"/>
      <c r="D8" s="38"/>
      <c r="E8" s="38"/>
      <c r="F8" s="46" t="s">
        <v>5</v>
      </c>
      <c r="G8" s="37"/>
    </row>
    <row r="9" spans="2:14" s="2" customFormat="1" ht="17" customHeight="1">
      <c r="B9" s="37"/>
      <c r="C9" s="37"/>
      <c r="D9" s="37"/>
      <c r="E9" s="37"/>
      <c r="F9" s="37"/>
      <c r="G9" s="37"/>
    </row>
    <row r="10" spans="2:14" s="2" customFormat="1" ht="28" customHeight="1">
      <c r="B10" s="133" t="s">
        <v>142</v>
      </c>
      <c r="C10" s="133"/>
      <c r="D10" s="133"/>
      <c r="E10" s="133"/>
      <c r="F10" s="133"/>
      <c r="G10" s="133"/>
      <c r="K10" s="3" t="s">
        <v>6</v>
      </c>
    </row>
    <row r="11" spans="2:14" ht="10" customHeight="1">
      <c r="B11"/>
      <c r="C11"/>
      <c r="D11"/>
      <c r="E11"/>
      <c r="F11"/>
      <c r="G11"/>
    </row>
    <row r="12" spans="2:14" s="5" customFormat="1" ht="24" customHeight="1">
      <c r="B12" s="214" t="s">
        <v>128</v>
      </c>
      <c r="C12" s="214"/>
      <c r="D12" s="214"/>
      <c r="E12" s="214"/>
      <c r="F12" s="214"/>
      <c r="G12" s="214"/>
      <c r="I12" s="2"/>
    </row>
    <row r="13" spans="2:14" ht="10" customHeight="1" thickBot="1">
      <c r="B13"/>
      <c r="C13"/>
      <c r="D13"/>
      <c r="E13"/>
      <c r="F13"/>
      <c r="G13"/>
    </row>
    <row r="14" spans="2:14" s="5" customFormat="1" ht="22" customHeight="1" thickBot="1">
      <c r="B14" s="135" t="s">
        <v>8</v>
      </c>
      <c r="C14" s="136"/>
      <c r="D14" s="136"/>
      <c r="E14" s="136"/>
      <c r="F14" s="136"/>
      <c r="G14" s="137"/>
      <c r="I14" s="2"/>
    </row>
    <row r="15" spans="2:14" s="7" customFormat="1" ht="30" customHeight="1" thickBot="1">
      <c r="B15" s="215" t="s">
        <v>9</v>
      </c>
      <c r="C15" s="216"/>
      <c r="D15" s="87" t="s">
        <v>129</v>
      </c>
      <c r="E15" s="87" t="s">
        <v>130</v>
      </c>
      <c r="F15" s="217" t="s">
        <v>12</v>
      </c>
      <c r="G15" s="218"/>
      <c r="I15" s="2"/>
      <c r="K15" s="6" t="s">
        <v>10</v>
      </c>
      <c r="L15" s="39" t="s">
        <v>11</v>
      </c>
    </row>
    <row r="16" spans="2:14" s="7" customFormat="1" ht="32">
      <c r="B16" s="88" t="s">
        <v>13</v>
      </c>
      <c r="C16" s="89" t="s">
        <v>14</v>
      </c>
      <c r="D16" s="219">
        <f>D24</f>
        <v>6900</v>
      </c>
      <c r="E16" s="219">
        <f>E24</f>
        <v>7600</v>
      </c>
      <c r="F16" s="221" t="s">
        <v>15</v>
      </c>
      <c r="G16" s="222"/>
      <c r="I16" s="2"/>
      <c r="K16" s="210">
        <v>5000</v>
      </c>
      <c r="L16" s="212"/>
      <c r="N16" s="8">
        <v>0</v>
      </c>
    </row>
    <row r="17" spans="2:15" s="7" customFormat="1" ht="33" thickBot="1">
      <c r="B17" s="90" t="s">
        <v>14</v>
      </c>
      <c r="C17" s="91" t="s">
        <v>13</v>
      </c>
      <c r="D17" s="220"/>
      <c r="E17" s="220"/>
      <c r="F17" s="223"/>
      <c r="G17" s="224"/>
      <c r="I17" s="2"/>
      <c r="K17" s="211"/>
      <c r="L17" s="213"/>
    </row>
    <row r="18" spans="2:15" s="7" customFormat="1" ht="32">
      <c r="B18" s="9" t="s">
        <v>16</v>
      </c>
      <c r="C18" s="10" t="s">
        <v>14</v>
      </c>
      <c r="D18" s="148">
        <f>D24</f>
        <v>6900</v>
      </c>
      <c r="E18" s="148">
        <f>E24</f>
        <v>7600</v>
      </c>
      <c r="F18" s="150" t="s">
        <v>17</v>
      </c>
      <c r="G18" s="151"/>
      <c r="I18" s="2"/>
      <c r="K18" s="148">
        <v>5000</v>
      </c>
      <c r="L18" s="159"/>
      <c r="O18" s="11"/>
    </row>
    <row r="19" spans="2:15" s="7" customFormat="1" ht="33" thickBot="1">
      <c r="B19" s="12" t="s">
        <v>14</v>
      </c>
      <c r="C19" s="13" t="s">
        <v>16</v>
      </c>
      <c r="D19" s="149"/>
      <c r="E19" s="149"/>
      <c r="F19" s="152"/>
      <c r="G19" s="153"/>
      <c r="I19" s="2"/>
      <c r="K19" s="149"/>
      <c r="L19" s="160"/>
    </row>
    <row r="20" spans="2:15" s="7" customFormat="1" ht="32" customHeight="1">
      <c r="B20" s="88" t="s">
        <v>18</v>
      </c>
      <c r="C20" s="89" t="s">
        <v>14</v>
      </c>
      <c r="D20" s="219">
        <f>2600*(1+15%)</f>
        <v>2989.9999999999995</v>
      </c>
      <c r="E20" s="219">
        <f>3100*(1+15%)</f>
        <v>3564.9999999999995</v>
      </c>
      <c r="F20" s="221" t="s">
        <v>17</v>
      </c>
      <c r="G20" s="222"/>
      <c r="I20" s="2"/>
      <c r="K20" s="210">
        <v>1800</v>
      </c>
      <c r="L20" s="212"/>
      <c r="N20" s="8"/>
    </row>
    <row r="21" spans="2:15" s="7" customFormat="1" ht="33" thickBot="1">
      <c r="B21" s="90" t="s">
        <v>14</v>
      </c>
      <c r="C21" s="91" t="s">
        <v>18</v>
      </c>
      <c r="D21" s="220"/>
      <c r="E21" s="220"/>
      <c r="F21" s="223"/>
      <c r="G21" s="224"/>
      <c r="I21" s="2"/>
      <c r="K21" s="211"/>
      <c r="L21" s="213"/>
    </row>
    <row r="22" spans="2:15" s="7" customFormat="1" ht="32" customHeight="1">
      <c r="B22" s="9" t="s">
        <v>19</v>
      </c>
      <c r="C22" s="10" t="s">
        <v>14</v>
      </c>
      <c r="D22" s="148">
        <f>D24*(1+50%)</f>
        <v>10350</v>
      </c>
      <c r="E22" s="148">
        <f>E24*(1+50%)</f>
        <v>11400</v>
      </c>
      <c r="F22" s="150" t="s">
        <v>17</v>
      </c>
      <c r="G22" s="151"/>
      <c r="I22" s="2"/>
      <c r="K22" s="148">
        <v>6000</v>
      </c>
      <c r="L22" s="159"/>
      <c r="O22" s="11"/>
    </row>
    <row r="23" spans="2:15" s="7" customFormat="1" ht="33" thickBot="1">
      <c r="B23" s="12" t="s">
        <v>14</v>
      </c>
      <c r="C23" s="13" t="s">
        <v>19</v>
      </c>
      <c r="D23" s="149"/>
      <c r="E23" s="149"/>
      <c r="F23" s="152"/>
      <c r="G23" s="153"/>
      <c r="I23" s="2"/>
      <c r="K23" s="149"/>
      <c r="L23" s="160"/>
    </row>
    <row r="24" spans="2:15" s="7" customFormat="1" ht="32" customHeight="1">
      <c r="B24" s="88" t="s">
        <v>20</v>
      </c>
      <c r="C24" s="89" t="s">
        <v>14</v>
      </c>
      <c r="D24" s="219">
        <v>6900</v>
      </c>
      <c r="E24" s="219">
        <v>7600</v>
      </c>
      <c r="F24" s="221" t="s">
        <v>17</v>
      </c>
      <c r="G24" s="222"/>
      <c r="I24" s="2"/>
      <c r="K24" s="210">
        <v>5000</v>
      </c>
      <c r="L24" s="212"/>
      <c r="N24" s="8"/>
    </row>
    <row r="25" spans="2:15" s="7" customFormat="1" ht="33" thickBot="1">
      <c r="B25" s="90" t="s">
        <v>14</v>
      </c>
      <c r="C25" s="91" t="s">
        <v>20</v>
      </c>
      <c r="D25" s="220"/>
      <c r="E25" s="220"/>
      <c r="F25" s="223"/>
      <c r="G25" s="224"/>
      <c r="I25" s="32"/>
      <c r="K25" s="211"/>
      <c r="L25" s="213"/>
    </row>
    <row r="26" spans="2:15" s="7" customFormat="1" ht="32" customHeight="1">
      <c r="B26" s="9" t="s">
        <v>21</v>
      </c>
      <c r="C26" s="10" t="s">
        <v>14</v>
      </c>
      <c r="D26" s="148">
        <f>D24</f>
        <v>6900</v>
      </c>
      <c r="E26" s="148">
        <f>E24</f>
        <v>7600</v>
      </c>
      <c r="F26" s="150" t="s">
        <v>17</v>
      </c>
      <c r="G26" s="151"/>
      <c r="I26" s="2"/>
      <c r="K26" s="148">
        <v>5000</v>
      </c>
      <c r="L26" s="159"/>
      <c r="O26" s="11"/>
    </row>
    <row r="27" spans="2:15" s="7" customFormat="1" ht="33" thickBot="1">
      <c r="B27" s="12" t="s">
        <v>14</v>
      </c>
      <c r="C27" s="13" t="s">
        <v>21</v>
      </c>
      <c r="D27" s="149"/>
      <c r="E27" s="149"/>
      <c r="F27" s="152"/>
      <c r="G27" s="153"/>
      <c r="I27" s="2"/>
      <c r="K27" s="149"/>
      <c r="L27" s="160"/>
    </row>
    <row r="28" spans="2:15" s="7" customFormat="1" ht="32" customHeight="1">
      <c r="B28" s="88" t="s">
        <v>22</v>
      </c>
      <c r="C28" s="89" t="s">
        <v>14</v>
      </c>
      <c r="D28" s="219">
        <f>D20</f>
        <v>2989.9999999999995</v>
      </c>
      <c r="E28" s="219">
        <f>E20</f>
        <v>3564.9999999999995</v>
      </c>
      <c r="F28" s="221" t="s">
        <v>17</v>
      </c>
      <c r="G28" s="222"/>
      <c r="I28" s="2"/>
      <c r="K28" s="210">
        <v>1800</v>
      </c>
      <c r="L28" s="212"/>
      <c r="N28" s="8"/>
    </row>
    <row r="29" spans="2:15" s="7" customFormat="1" ht="33" thickBot="1">
      <c r="B29" s="90" t="s">
        <v>14</v>
      </c>
      <c r="C29" s="91" t="s">
        <v>22</v>
      </c>
      <c r="D29" s="220"/>
      <c r="E29" s="220"/>
      <c r="F29" s="223"/>
      <c r="G29" s="224"/>
      <c r="I29" s="2"/>
      <c r="K29" s="211"/>
      <c r="L29" s="213"/>
    </row>
    <row r="30" spans="2:15" s="7" customFormat="1" ht="32" customHeight="1">
      <c r="B30" s="9" t="s">
        <v>23</v>
      </c>
      <c r="C30" s="10" t="s">
        <v>14</v>
      </c>
      <c r="D30" s="148">
        <f>D26*(1-20%)</f>
        <v>5520</v>
      </c>
      <c r="E30" s="148">
        <f>E26*(1-20%)</f>
        <v>6080</v>
      </c>
      <c r="F30" s="150" t="s">
        <v>17</v>
      </c>
      <c r="G30" s="151"/>
      <c r="I30" s="2"/>
      <c r="K30" s="148">
        <v>2500</v>
      </c>
      <c r="L30" s="159"/>
      <c r="O30" s="11"/>
    </row>
    <row r="31" spans="2:15" s="7" customFormat="1" ht="33" thickBot="1">
      <c r="B31" s="12" t="s">
        <v>14</v>
      </c>
      <c r="C31" s="13" t="s">
        <v>23</v>
      </c>
      <c r="D31" s="149"/>
      <c r="E31" s="149"/>
      <c r="F31" s="152"/>
      <c r="G31" s="153"/>
      <c r="I31" s="2"/>
      <c r="K31" s="149"/>
      <c r="L31" s="160"/>
    </row>
    <row r="32" spans="2:15" s="7" customFormat="1" ht="32">
      <c r="B32" s="88" t="s">
        <v>24</v>
      </c>
      <c r="C32" s="89" t="s">
        <v>14</v>
      </c>
      <c r="D32" s="225">
        <f>D24</f>
        <v>6900</v>
      </c>
      <c r="E32" s="225">
        <f>E24</f>
        <v>7600</v>
      </c>
      <c r="F32" s="221" t="s">
        <v>17</v>
      </c>
      <c r="G32" s="222"/>
      <c r="I32" s="2"/>
      <c r="K32" s="212">
        <v>5000</v>
      </c>
      <c r="L32" s="212"/>
    </row>
    <row r="33" spans="2:12" s="7" customFormat="1" ht="33" thickBot="1">
      <c r="B33" s="90" t="s">
        <v>14</v>
      </c>
      <c r="C33" s="91" t="s">
        <v>24</v>
      </c>
      <c r="D33" s="226"/>
      <c r="E33" s="226"/>
      <c r="F33" s="223"/>
      <c r="G33" s="224"/>
      <c r="I33" s="2"/>
      <c r="K33" s="213"/>
      <c r="L33" s="213"/>
    </row>
    <row r="34" spans="2:12" ht="110" customHeight="1" thickBot="1">
      <c r="B34"/>
      <c r="C34"/>
      <c r="D34"/>
      <c r="E34"/>
      <c r="F34"/>
      <c r="G34"/>
    </row>
    <row r="35" spans="2:12" ht="24" customHeight="1" thickBot="1">
      <c r="B35" s="156" t="s">
        <v>25</v>
      </c>
      <c r="C35" s="157"/>
      <c r="D35" s="157"/>
      <c r="E35" s="157"/>
      <c r="F35" s="157"/>
      <c r="G35" s="158"/>
    </row>
    <row r="36" spans="2:12" s="7" customFormat="1" ht="30" customHeight="1" thickBot="1">
      <c r="B36" s="215" t="s">
        <v>9</v>
      </c>
      <c r="C36" s="216"/>
      <c r="D36" s="87" t="s">
        <v>129</v>
      </c>
      <c r="E36" s="87" t="s">
        <v>130</v>
      </c>
      <c r="F36" s="217" t="s">
        <v>12</v>
      </c>
      <c r="G36" s="218"/>
      <c r="I36" s="2"/>
      <c r="K36" s="6" t="s">
        <v>10</v>
      </c>
      <c r="L36" s="6" t="s">
        <v>11</v>
      </c>
    </row>
    <row r="37" spans="2:12" s="7" customFormat="1" ht="24" customHeight="1">
      <c r="B37" s="88" t="s">
        <v>26</v>
      </c>
      <c r="C37" s="89" t="s">
        <v>14</v>
      </c>
      <c r="D37" s="225">
        <f>D16</f>
        <v>6900</v>
      </c>
      <c r="E37" s="225">
        <f>E16</f>
        <v>7600</v>
      </c>
      <c r="F37" s="221" t="s">
        <v>27</v>
      </c>
      <c r="G37" s="222"/>
      <c r="I37" s="2"/>
      <c r="K37" s="159">
        <v>5000</v>
      </c>
      <c r="L37" s="159"/>
    </row>
    <row r="38" spans="2:12" s="7" customFormat="1" ht="24" customHeight="1" thickBot="1">
      <c r="B38" s="90" t="s">
        <v>14</v>
      </c>
      <c r="C38" s="91" t="s">
        <v>26</v>
      </c>
      <c r="D38" s="226"/>
      <c r="E38" s="226"/>
      <c r="F38" s="223"/>
      <c r="G38" s="224"/>
      <c r="I38" s="2"/>
      <c r="K38" s="160"/>
      <c r="L38" s="160"/>
    </row>
    <row r="39" spans="2:12" s="7" customFormat="1" ht="24" customHeight="1">
      <c r="B39" s="9" t="s">
        <v>28</v>
      </c>
      <c r="C39" s="10" t="s">
        <v>14</v>
      </c>
      <c r="D39" s="159">
        <f>D20*(1+30%)</f>
        <v>3886.9999999999995</v>
      </c>
      <c r="E39" s="159">
        <f>E20*(1+30%)</f>
        <v>4634.5</v>
      </c>
      <c r="F39" s="150" t="s">
        <v>29</v>
      </c>
      <c r="G39" s="151"/>
      <c r="I39" s="2"/>
      <c r="K39" s="159">
        <v>2200</v>
      </c>
      <c r="L39" s="159"/>
    </row>
    <row r="40" spans="2:12" s="7" customFormat="1" ht="24" customHeight="1" thickBot="1">
      <c r="B40" s="12" t="s">
        <v>14</v>
      </c>
      <c r="C40" s="13" t="s">
        <v>28</v>
      </c>
      <c r="D40" s="160"/>
      <c r="E40" s="160"/>
      <c r="F40" s="152"/>
      <c r="G40" s="153"/>
      <c r="I40" s="2"/>
      <c r="K40" s="160"/>
      <c r="L40" s="160"/>
    </row>
    <row r="41" spans="2:12" s="7" customFormat="1" ht="32" customHeight="1">
      <c r="B41" s="88" t="s">
        <v>30</v>
      </c>
      <c r="C41" s="89" t="s">
        <v>14</v>
      </c>
      <c r="D41" s="225">
        <f>D24</f>
        <v>6900</v>
      </c>
      <c r="E41" s="225">
        <f>E24</f>
        <v>7600</v>
      </c>
      <c r="F41" s="221" t="s">
        <v>31</v>
      </c>
      <c r="G41" s="222"/>
      <c r="I41" s="2"/>
      <c r="K41" s="212">
        <v>5000</v>
      </c>
      <c r="L41" s="212"/>
    </row>
    <row r="42" spans="2:12" s="7" customFormat="1" ht="33" thickBot="1">
      <c r="B42" s="90" t="s">
        <v>14</v>
      </c>
      <c r="C42" s="91" t="s">
        <v>30</v>
      </c>
      <c r="D42" s="226"/>
      <c r="E42" s="226"/>
      <c r="F42" s="223"/>
      <c r="G42" s="224"/>
      <c r="I42" s="2"/>
      <c r="K42" s="213"/>
      <c r="L42" s="213"/>
    </row>
    <row r="43" spans="2:12" s="7" customFormat="1" ht="32" customHeight="1">
      <c r="B43" s="9" t="s">
        <v>32</v>
      </c>
      <c r="C43" s="10" t="s">
        <v>14</v>
      </c>
      <c r="D43" s="159">
        <f>D41*(1+15%)</f>
        <v>7934.9999999999991</v>
      </c>
      <c r="E43" s="159">
        <f>E41*(1+15%)</f>
        <v>8740</v>
      </c>
      <c r="F43" s="150" t="s">
        <v>33</v>
      </c>
      <c r="G43" s="151"/>
      <c r="I43" s="2"/>
      <c r="K43" s="159">
        <v>5700</v>
      </c>
      <c r="L43" s="159"/>
    </row>
    <row r="44" spans="2:12" s="7" customFormat="1" ht="33" thickBot="1">
      <c r="B44" s="12" t="s">
        <v>14</v>
      </c>
      <c r="C44" s="13" t="s">
        <v>32</v>
      </c>
      <c r="D44" s="160"/>
      <c r="E44" s="160"/>
      <c r="F44" s="152"/>
      <c r="G44" s="153"/>
      <c r="I44" s="2"/>
      <c r="K44" s="160"/>
      <c r="L44" s="160"/>
    </row>
    <row r="45" spans="2:12" s="7" customFormat="1" ht="24" customHeight="1">
      <c r="B45" s="88" t="s">
        <v>34</v>
      </c>
      <c r="C45" s="89" t="s">
        <v>14</v>
      </c>
      <c r="D45" s="225">
        <f>D22</f>
        <v>10350</v>
      </c>
      <c r="E45" s="225">
        <f>E22</f>
        <v>11400</v>
      </c>
      <c r="F45" s="221" t="s">
        <v>35</v>
      </c>
      <c r="G45" s="222"/>
      <c r="H45" s="11"/>
      <c r="I45" s="2"/>
      <c r="K45" s="212">
        <v>8000</v>
      </c>
      <c r="L45" s="212"/>
    </row>
    <row r="46" spans="2:12" s="7" customFormat="1" ht="24" customHeight="1" thickBot="1">
      <c r="B46" s="90" t="s">
        <v>14</v>
      </c>
      <c r="C46" s="91" t="s">
        <v>34</v>
      </c>
      <c r="D46" s="226"/>
      <c r="E46" s="226"/>
      <c r="F46" s="223"/>
      <c r="G46" s="224"/>
      <c r="I46" s="2"/>
      <c r="K46" s="213"/>
      <c r="L46" s="213"/>
    </row>
    <row r="47" spans="2:12" s="7" customFormat="1" ht="24" customHeight="1">
      <c r="B47" s="9" t="s">
        <v>36</v>
      </c>
      <c r="C47" s="10" t="s">
        <v>14</v>
      </c>
      <c r="D47" s="159">
        <f>D20*(1-20%)</f>
        <v>2391.9999999999995</v>
      </c>
      <c r="E47" s="159">
        <f>E20*(1-20%)</f>
        <v>2852</v>
      </c>
      <c r="F47" s="150" t="s">
        <v>37</v>
      </c>
      <c r="G47" s="151"/>
      <c r="I47" s="2"/>
      <c r="K47" s="159">
        <v>800</v>
      </c>
      <c r="L47" s="159"/>
    </row>
    <row r="48" spans="2:12" s="7" customFormat="1" ht="24" customHeight="1" thickBot="1">
      <c r="B48" s="12" t="s">
        <v>14</v>
      </c>
      <c r="C48" s="13" t="s">
        <v>36</v>
      </c>
      <c r="D48" s="160"/>
      <c r="E48" s="160"/>
      <c r="F48" s="152"/>
      <c r="G48" s="153"/>
      <c r="I48" s="2"/>
      <c r="K48" s="160"/>
      <c r="L48" s="160"/>
    </row>
    <row r="49" spans="2:12" s="7" customFormat="1" ht="24" customHeight="1">
      <c r="B49" s="88" t="s">
        <v>38</v>
      </c>
      <c r="C49" s="89" t="s">
        <v>14</v>
      </c>
      <c r="D49" s="225">
        <f>D41</f>
        <v>6900</v>
      </c>
      <c r="E49" s="225">
        <f>E41</f>
        <v>7600</v>
      </c>
      <c r="F49" s="221" t="s">
        <v>39</v>
      </c>
      <c r="G49" s="222"/>
      <c r="I49" s="2"/>
      <c r="K49" s="212">
        <v>5000</v>
      </c>
      <c r="L49" s="212"/>
    </row>
    <row r="50" spans="2:12" s="7" customFormat="1" ht="24" customHeight="1" thickBot="1">
      <c r="B50" s="90" t="s">
        <v>14</v>
      </c>
      <c r="C50" s="91" t="s">
        <v>38</v>
      </c>
      <c r="D50" s="226"/>
      <c r="E50" s="226"/>
      <c r="F50" s="223"/>
      <c r="G50" s="224"/>
      <c r="I50" s="2"/>
      <c r="K50" s="213"/>
      <c r="L50" s="213"/>
    </row>
    <row r="51" spans="2:12" s="7" customFormat="1" ht="24" customHeight="1">
      <c r="B51" s="9" t="s">
        <v>40</v>
      </c>
      <c r="C51" s="10" t="s">
        <v>14</v>
      </c>
      <c r="D51" s="159">
        <f>D22</f>
        <v>10350</v>
      </c>
      <c r="E51" s="148">
        <f>E22</f>
        <v>11400</v>
      </c>
      <c r="F51" s="150" t="s">
        <v>41</v>
      </c>
      <c r="G51" s="151"/>
      <c r="I51" s="2"/>
      <c r="K51" s="159">
        <v>6000</v>
      </c>
      <c r="L51" s="159"/>
    </row>
    <row r="52" spans="2:12" s="7" customFormat="1" ht="24" customHeight="1" thickBot="1">
      <c r="B52" s="12" t="s">
        <v>14</v>
      </c>
      <c r="C52" s="13" t="s">
        <v>40</v>
      </c>
      <c r="D52" s="160"/>
      <c r="E52" s="149"/>
      <c r="F52" s="152"/>
      <c r="G52" s="153"/>
      <c r="I52" s="2"/>
      <c r="K52" s="160"/>
      <c r="L52" s="160"/>
    </row>
    <row r="53" spans="2:12" s="7" customFormat="1" ht="24" customHeight="1">
      <c r="B53" s="88" t="s">
        <v>42</v>
      </c>
      <c r="C53" s="89" t="s">
        <v>14</v>
      </c>
      <c r="D53" s="225">
        <f>D20</f>
        <v>2989.9999999999995</v>
      </c>
      <c r="E53" s="225">
        <f>E20</f>
        <v>3564.9999999999995</v>
      </c>
      <c r="F53" s="221" t="s">
        <v>43</v>
      </c>
      <c r="G53" s="222"/>
      <c r="I53" s="2"/>
      <c r="K53" s="212">
        <v>1800</v>
      </c>
      <c r="L53" s="212"/>
    </row>
    <row r="54" spans="2:12" s="7" customFormat="1" ht="24" customHeight="1" thickBot="1">
      <c r="B54" s="90" t="s">
        <v>14</v>
      </c>
      <c r="C54" s="91" t="s">
        <v>42</v>
      </c>
      <c r="D54" s="226"/>
      <c r="E54" s="226"/>
      <c r="F54" s="223"/>
      <c r="G54" s="224"/>
      <c r="I54" s="32"/>
      <c r="K54" s="213"/>
      <c r="L54" s="213"/>
    </row>
    <row r="55" spans="2:12" s="7" customFormat="1" ht="24" customHeight="1">
      <c r="B55" s="9" t="s">
        <v>44</v>
      </c>
      <c r="C55" s="10" t="s">
        <v>14</v>
      </c>
      <c r="D55" s="159">
        <f>D41</f>
        <v>6900</v>
      </c>
      <c r="E55" s="148">
        <f>E41</f>
        <v>7600</v>
      </c>
      <c r="F55" s="150" t="s">
        <v>45</v>
      </c>
      <c r="G55" s="151"/>
      <c r="I55" s="2"/>
      <c r="K55" s="159">
        <v>5000</v>
      </c>
      <c r="L55" s="159"/>
    </row>
    <row r="56" spans="2:12" s="7" customFormat="1" ht="24" customHeight="1" thickBot="1">
      <c r="B56" s="12" t="s">
        <v>14</v>
      </c>
      <c r="C56" s="13" t="s">
        <v>44</v>
      </c>
      <c r="D56" s="160"/>
      <c r="E56" s="149"/>
      <c r="F56" s="152"/>
      <c r="G56" s="153"/>
      <c r="I56" s="2"/>
      <c r="K56" s="160"/>
      <c r="L56" s="160"/>
    </row>
    <row r="57" spans="2:12" s="7" customFormat="1" ht="24" customHeight="1">
      <c r="B57" s="88" t="s">
        <v>46</v>
      </c>
      <c r="C57" s="89" t="s">
        <v>14</v>
      </c>
      <c r="D57" s="225">
        <f>D51*(1+15%)</f>
        <v>11902.499999999998</v>
      </c>
      <c r="E57" s="225">
        <f>E51*(1+15%)</f>
        <v>13109.999999999998</v>
      </c>
      <c r="F57" s="221" t="s">
        <v>47</v>
      </c>
      <c r="G57" s="222"/>
      <c r="I57" s="32"/>
      <c r="K57" s="212">
        <v>8000</v>
      </c>
      <c r="L57" s="212"/>
    </row>
    <row r="58" spans="2:12" s="7" customFormat="1" ht="24" customHeight="1" thickBot="1">
      <c r="B58" s="90" t="s">
        <v>14</v>
      </c>
      <c r="C58" s="91" t="s">
        <v>46</v>
      </c>
      <c r="D58" s="226"/>
      <c r="E58" s="226"/>
      <c r="F58" s="223"/>
      <c r="G58" s="224"/>
      <c r="I58" s="2"/>
      <c r="K58" s="213"/>
      <c r="L58" s="213"/>
    </row>
    <row r="59" spans="2:12" s="7" customFormat="1" ht="24" customHeight="1">
      <c r="B59" s="9" t="s">
        <v>48</v>
      </c>
      <c r="C59" s="10" t="s">
        <v>14</v>
      </c>
      <c r="D59" s="159">
        <f>D28</f>
        <v>2989.9999999999995</v>
      </c>
      <c r="E59" s="148">
        <f>E28</f>
        <v>3564.9999999999995</v>
      </c>
      <c r="F59" s="150" t="s">
        <v>49</v>
      </c>
      <c r="G59" s="151"/>
      <c r="I59" s="2"/>
      <c r="K59" s="159">
        <v>1800</v>
      </c>
      <c r="L59" s="159"/>
    </row>
    <row r="60" spans="2:12" s="7" customFormat="1" ht="24" customHeight="1" thickBot="1">
      <c r="B60" s="12" t="s">
        <v>14</v>
      </c>
      <c r="C60" s="13" t="s">
        <v>48</v>
      </c>
      <c r="D60" s="160"/>
      <c r="E60" s="149"/>
      <c r="F60" s="152"/>
      <c r="G60" s="153"/>
      <c r="I60" s="32"/>
      <c r="K60" s="160"/>
      <c r="L60" s="160"/>
    </row>
    <row r="61" spans="2:12" s="7" customFormat="1" ht="24" customHeight="1">
      <c r="B61" s="88" t="s">
        <v>50</v>
      </c>
      <c r="C61" s="89" t="s">
        <v>14</v>
      </c>
      <c r="D61" s="225">
        <f>D59*(1+25%)</f>
        <v>3737.4999999999995</v>
      </c>
      <c r="E61" s="225">
        <f>E59*(1+25%)</f>
        <v>4456.2499999999991</v>
      </c>
      <c r="F61" s="221" t="s">
        <v>51</v>
      </c>
      <c r="G61" s="222"/>
      <c r="I61" s="2"/>
      <c r="K61" s="212">
        <v>2500</v>
      </c>
      <c r="L61" s="212"/>
    </row>
    <row r="62" spans="2:12" s="7" customFormat="1" ht="24" customHeight="1" thickBot="1">
      <c r="B62" s="90" t="s">
        <v>14</v>
      </c>
      <c r="C62" s="91" t="s">
        <v>50</v>
      </c>
      <c r="D62" s="226"/>
      <c r="E62" s="226"/>
      <c r="F62" s="223"/>
      <c r="G62" s="224"/>
      <c r="I62" s="32"/>
      <c r="K62" s="213"/>
      <c r="L62" s="213"/>
    </row>
    <row r="63" spans="2:12" s="7" customFormat="1" ht="24" customHeight="1">
      <c r="B63" s="9" t="s">
        <v>52</v>
      </c>
      <c r="C63" s="10" t="s">
        <v>14</v>
      </c>
      <c r="D63" s="159">
        <f>D30</f>
        <v>5520</v>
      </c>
      <c r="E63" s="148">
        <f>E30</f>
        <v>6080</v>
      </c>
      <c r="F63" s="150" t="s">
        <v>53</v>
      </c>
      <c r="G63" s="151"/>
      <c r="I63" s="2"/>
      <c r="K63" s="159">
        <v>2500</v>
      </c>
      <c r="L63" s="159"/>
    </row>
    <row r="64" spans="2:12" s="7" customFormat="1" ht="24" customHeight="1" thickBot="1">
      <c r="B64" s="12" t="s">
        <v>14</v>
      </c>
      <c r="C64" s="13" t="s">
        <v>52</v>
      </c>
      <c r="D64" s="160"/>
      <c r="E64" s="149"/>
      <c r="F64" s="152"/>
      <c r="G64" s="153"/>
      <c r="I64" s="2"/>
      <c r="K64" s="160"/>
      <c r="L64" s="160"/>
    </row>
    <row r="65" spans="2:12" s="7" customFormat="1" ht="24" customHeight="1">
      <c r="B65" s="88" t="s">
        <v>54</v>
      </c>
      <c r="C65" s="89" t="s">
        <v>14</v>
      </c>
      <c r="D65" s="225">
        <f>D45</f>
        <v>10350</v>
      </c>
      <c r="E65" s="225">
        <f>E45</f>
        <v>11400</v>
      </c>
      <c r="F65" s="221" t="s">
        <v>55</v>
      </c>
      <c r="G65" s="222"/>
      <c r="I65" s="2"/>
      <c r="K65" s="212">
        <v>8000</v>
      </c>
      <c r="L65" s="212"/>
    </row>
    <row r="66" spans="2:12" s="7" customFormat="1" ht="24" customHeight="1" thickBot="1">
      <c r="B66" s="90" t="s">
        <v>14</v>
      </c>
      <c r="C66" s="91" t="s">
        <v>54</v>
      </c>
      <c r="D66" s="226"/>
      <c r="E66" s="226"/>
      <c r="F66" s="223"/>
      <c r="G66" s="224"/>
      <c r="I66" s="2"/>
      <c r="K66" s="213"/>
      <c r="L66" s="213"/>
    </row>
    <row r="67" spans="2:12" s="2" customFormat="1" ht="17" thickBot="1">
      <c r="B67" s="4"/>
      <c r="C67" s="4"/>
      <c r="D67" s="4"/>
      <c r="E67" s="4"/>
      <c r="F67" s="4"/>
      <c r="G67" s="4"/>
    </row>
    <row r="68" spans="2:12" s="7" customFormat="1" ht="17">
      <c r="B68" s="227" t="s">
        <v>56</v>
      </c>
      <c r="C68" s="228"/>
      <c r="D68" s="228"/>
      <c r="E68" s="228"/>
      <c r="F68" s="228"/>
      <c r="G68" s="229"/>
      <c r="I68" s="2"/>
    </row>
    <row r="69" spans="2:12" s="2" customFormat="1" ht="56" customHeight="1">
      <c r="B69" s="161" t="s">
        <v>115</v>
      </c>
      <c r="C69" s="162"/>
      <c r="D69" s="162"/>
      <c r="E69" s="162"/>
      <c r="F69" s="162"/>
      <c r="G69" s="163"/>
    </row>
    <row r="70" spans="2:12" s="2" customFormat="1" ht="52" customHeight="1" thickBot="1">
      <c r="B70" s="164" t="s">
        <v>131</v>
      </c>
      <c r="C70" s="165"/>
      <c r="D70" s="165"/>
      <c r="E70" s="165"/>
      <c r="F70" s="165"/>
      <c r="G70" s="166"/>
    </row>
    <row r="71" spans="2:12" s="2" customFormat="1" ht="16">
      <c r="B71" s="4"/>
      <c r="C71" s="4"/>
      <c r="D71" s="4"/>
      <c r="E71" s="4"/>
      <c r="F71" s="4"/>
      <c r="G71" s="4"/>
    </row>
    <row r="72" spans="2:12" s="2" customFormat="1" ht="16">
      <c r="B72" s="4"/>
      <c r="C72" s="4"/>
      <c r="D72" s="92"/>
      <c r="E72" s="4"/>
      <c r="F72" s="4"/>
      <c r="G72" s="4"/>
    </row>
  </sheetData>
  <mergeCells count="131">
    <mergeCell ref="B69:G69"/>
    <mergeCell ref="B70:G70"/>
    <mergeCell ref="D65:D66"/>
    <mergeCell ref="E65:E66"/>
    <mergeCell ref="F65:G66"/>
    <mergeCell ref="K65:K66"/>
    <mergeCell ref="L65:L66"/>
    <mergeCell ref="B68:G68"/>
    <mergeCell ref="D61:D62"/>
    <mergeCell ref="E61:E62"/>
    <mergeCell ref="F61:G62"/>
    <mergeCell ref="K61:K62"/>
    <mergeCell ref="L61:L62"/>
    <mergeCell ref="D63:D64"/>
    <mergeCell ref="E63:E64"/>
    <mergeCell ref="F63:G64"/>
    <mergeCell ref="K63:K64"/>
    <mergeCell ref="L63:L64"/>
    <mergeCell ref="D57:D58"/>
    <mergeCell ref="E57:E58"/>
    <mergeCell ref="F57:G58"/>
    <mergeCell ref="K57:K58"/>
    <mergeCell ref="L57:L58"/>
    <mergeCell ref="D59:D60"/>
    <mergeCell ref="E59:E60"/>
    <mergeCell ref="F59:G60"/>
    <mergeCell ref="K59:K60"/>
    <mergeCell ref="L59:L60"/>
    <mergeCell ref="D53:D54"/>
    <mergeCell ref="E53:E54"/>
    <mergeCell ref="F53:G54"/>
    <mergeCell ref="K53:K54"/>
    <mergeCell ref="L53:L54"/>
    <mergeCell ref="D55:D56"/>
    <mergeCell ref="E55:E56"/>
    <mergeCell ref="F55:G56"/>
    <mergeCell ref="K55:K56"/>
    <mergeCell ref="L55:L56"/>
    <mergeCell ref="D49:D50"/>
    <mergeCell ref="E49:E50"/>
    <mergeCell ref="F49:G50"/>
    <mergeCell ref="K49:K50"/>
    <mergeCell ref="L49:L50"/>
    <mergeCell ref="D51:D52"/>
    <mergeCell ref="E51:E52"/>
    <mergeCell ref="F51:G52"/>
    <mergeCell ref="K51:K52"/>
    <mergeCell ref="L51:L52"/>
    <mergeCell ref="D45:D46"/>
    <mergeCell ref="E45:E46"/>
    <mergeCell ref="F45:G46"/>
    <mergeCell ref="K45:K46"/>
    <mergeCell ref="L45:L46"/>
    <mergeCell ref="D47:D48"/>
    <mergeCell ref="E47:E48"/>
    <mergeCell ref="F47:G48"/>
    <mergeCell ref="K47:K48"/>
    <mergeCell ref="L47:L48"/>
    <mergeCell ref="D41:D42"/>
    <mergeCell ref="E41:E42"/>
    <mergeCell ref="F41:G42"/>
    <mergeCell ref="K41:K42"/>
    <mergeCell ref="L41:L42"/>
    <mergeCell ref="D43:D44"/>
    <mergeCell ref="E43:E44"/>
    <mergeCell ref="F43:G44"/>
    <mergeCell ref="K43:K44"/>
    <mergeCell ref="L43:L44"/>
    <mergeCell ref="L37:L38"/>
    <mergeCell ref="D39:D40"/>
    <mergeCell ref="E39:E40"/>
    <mergeCell ref="F39:G40"/>
    <mergeCell ref="K39:K40"/>
    <mergeCell ref="L39:L40"/>
    <mergeCell ref="B36:C36"/>
    <mergeCell ref="F36:G36"/>
    <mergeCell ref="D37:D38"/>
    <mergeCell ref="E37:E38"/>
    <mergeCell ref="F37:G38"/>
    <mergeCell ref="K37:K38"/>
    <mergeCell ref="D32:D33"/>
    <mergeCell ref="E32:E33"/>
    <mergeCell ref="F32:G33"/>
    <mergeCell ref="K32:K33"/>
    <mergeCell ref="L32:L33"/>
    <mergeCell ref="B35:G35"/>
    <mergeCell ref="D28:D29"/>
    <mergeCell ref="E28:E29"/>
    <mergeCell ref="F28:G29"/>
    <mergeCell ref="K28:K29"/>
    <mergeCell ref="L28:L29"/>
    <mergeCell ref="D30:D31"/>
    <mergeCell ref="E30:E31"/>
    <mergeCell ref="F30:G31"/>
    <mergeCell ref="K30:K31"/>
    <mergeCell ref="L30:L31"/>
    <mergeCell ref="D24:D25"/>
    <mergeCell ref="E24:E25"/>
    <mergeCell ref="F24:G25"/>
    <mergeCell ref="K24:K25"/>
    <mergeCell ref="L24:L25"/>
    <mergeCell ref="D26:D27"/>
    <mergeCell ref="E26:E27"/>
    <mergeCell ref="F26:G27"/>
    <mergeCell ref="K26:K27"/>
    <mergeCell ref="L26:L27"/>
    <mergeCell ref="D20:D21"/>
    <mergeCell ref="E20:E21"/>
    <mergeCell ref="F20:G21"/>
    <mergeCell ref="K20:K21"/>
    <mergeCell ref="L20:L21"/>
    <mergeCell ref="D22:D23"/>
    <mergeCell ref="E22:E23"/>
    <mergeCell ref="F22:G23"/>
    <mergeCell ref="K22:K23"/>
    <mergeCell ref="L22:L23"/>
    <mergeCell ref="K16:K17"/>
    <mergeCell ref="L16:L17"/>
    <mergeCell ref="D18:D19"/>
    <mergeCell ref="E18:E19"/>
    <mergeCell ref="F18:G19"/>
    <mergeCell ref="K18:K19"/>
    <mergeCell ref="L18:L19"/>
    <mergeCell ref="B10:G10"/>
    <mergeCell ref="B12:G12"/>
    <mergeCell ref="B14:G14"/>
    <mergeCell ref="B15:C15"/>
    <mergeCell ref="F15:G15"/>
    <mergeCell ref="D16:D17"/>
    <mergeCell ref="E16:E17"/>
    <mergeCell ref="F16:G17"/>
  </mergeCells>
  <printOptions horizontalCentered="1"/>
  <pageMargins left="0.25" right="0.25" top="0.75" bottom="0.75" header="0.3" footer="0.3"/>
  <pageSetup scale="78" fitToHeight="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F7D9-2EF5-FB49-B3F5-94B9CA812A2C}">
  <sheetPr codeName="Sheet7">
    <pageSetUpPr fitToPage="1"/>
  </sheetPr>
  <dimension ref="B1:I53"/>
  <sheetViews>
    <sheetView showGridLines="0" zoomScale="190" zoomScaleNormal="190" zoomScalePageLayoutView="80" workbookViewId="0">
      <selection activeCell="C48" sqref="C48:C49"/>
    </sheetView>
  </sheetViews>
  <sheetFormatPr baseColWidth="10" defaultColWidth="10.83203125" defaultRowHeight="16"/>
  <cols>
    <col min="1" max="1" width="3.1640625" style="2" customWidth="1"/>
    <col min="2" max="2" width="28.1640625" style="4" customWidth="1"/>
    <col min="3" max="4" width="13.33203125" style="4" customWidth="1"/>
    <col min="5" max="5" width="10.83203125" style="2"/>
    <col min="6" max="6" width="6.83203125" style="2" bestFit="1" customWidth="1"/>
    <col min="7" max="7" width="10.83203125" style="2"/>
    <col min="8" max="9" width="11" style="2" bestFit="1" customWidth="1"/>
    <col min="10" max="16384" width="10.83203125" style="2"/>
  </cols>
  <sheetData>
    <row r="1" spans="2:9" s="5" customFormat="1" ht="18" thickBot="1">
      <c r="B1" s="4"/>
      <c r="C1" s="2"/>
      <c r="D1" s="2"/>
    </row>
    <row r="2" spans="2:9" ht="20" thickBot="1">
      <c r="B2" s="156" t="s">
        <v>57</v>
      </c>
      <c r="C2" s="157"/>
      <c r="D2" s="158"/>
      <c r="H2" s="97" t="s">
        <v>132</v>
      </c>
      <c r="I2" s="97">
        <v>7.0000000000000007E-2</v>
      </c>
    </row>
    <row r="3" spans="2:9" s="5" customFormat="1" ht="18" thickBot="1">
      <c r="B3" s="87" t="s">
        <v>58</v>
      </c>
      <c r="C3" s="87" t="s">
        <v>129</v>
      </c>
      <c r="D3" s="106" t="s">
        <v>130</v>
      </c>
      <c r="F3" s="18"/>
      <c r="H3" s="87" t="s">
        <v>129</v>
      </c>
      <c r="I3" s="106" t="s">
        <v>130</v>
      </c>
    </row>
    <row r="4" spans="2:9" s="7" customFormat="1" ht="17">
      <c r="B4" s="93" t="s">
        <v>61</v>
      </c>
      <c r="C4" s="101">
        <f>H4*(1+$I$2)</f>
        <v>1386.6558000000002</v>
      </c>
      <c r="D4" s="94">
        <f>I4*(1+$I$2)</f>
        <v>1694.7944000000002</v>
      </c>
      <c r="F4" s="21"/>
      <c r="G4" s="21"/>
      <c r="H4" s="50">
        <v>1295.94</v>
      </c>
      <c r="I4" s="42">
        <v>1583.92</v>
      </c>
    </row>
    <row r="5" spans="2:9" s="7" customFormat="1" ht="17">
      <c r="B5" s="22" t="s">
        <v>114</v>
      </c>
      <c r="C5" s="51">
        <f t="shared" ref="C5:C44" si="0">H5*(1+$I$2)</f>
        <v>1794.9464</v>
      </c>
      <c r="D5" s="69">
        <f t="shared" ref="D5:D44" si="1">I5*(1+$I$2)</f>
        <v>2217.3610000000003</v>
      </c>
      <c r="F5" s="21"/>
      <c r="G5" s="21"/>
      <c r="H5" s="51">
        <v>1677.52</v>
      </c>
      <c r="I5" s="49">
        <v>2072.3000000000002</v>
      </c>
    </row>
    <row r="6" spans="2:9" s="7" customFormat="1" ht="17">
      <c r="B6" s="93" t="s">
        <v>62</v>
      </c>
      <c r="C6" s="102">
        <f t="shared" si="0"/>
        <v>1694.0133000000001</v>
      </c>
      <c r="D6" s="95">
        <f t="shared" si="1"/>
        <v>2002.9437000000003</v>
      </c>
      <c r="F6" s="21"/>
      <c r="G6" s="21"/>
      <c r="H6" s="52">
        <v>1583.19</v>
      </c>
      <c r="I6" s="43">
        <v>1871.91</v>
      </c>
    </row>
    <row r="7" spans="2:9" s="7" customFormat="1" ht="17">
      <c r="B7" s="22" t="s">
        <v>63</v>
      </c>
      <c r="C7" s="51">
        <f t="shared" si="0"/>
        <v>1078.5065000000002</v>
      </c>
      <c r="D7" s="69">
        <f t="shared" si="1"/>
        <v>1386.6558000000002</v>
      </c>
      <c r="F7" s="21"/>
      <c r="G7" s="21"/>
      <c r="H7" s="51">
        <v>1007.95</v>
      </c>
      <c r="I7" s="49">
        <v>1295.94</v>
      </c>
    </row>
    <row r="8" spans="2:9" s="7" customFormat="1" ht="17">
      <c r="B8" s="93" t="s">
        <v>64</v>
      </c>
      <c r="C8" s="102">
        <f t="shared" si="0"/>
        <v>1232.5809295800004</v>
      </c>
      <c r="D8" s="95">
        <f t="shared" si="1"/>
        <v>1694.7987781725003</v>
      </c>
      <c r="F8" s="21"/>
      <c r="G8" s="21"/>
      <c r="H8" s="52">
        <v>1151.9447940000002</v>
      </c>
      <c r="I8" s="43">
        <v>1583.9240917500001</v>
      </c>
    </row>
    <row r="9" spans="2:9" s="7" customFormat="1" ht="17">
      <c r="B9" s="22" t="s">
        <v>65</v>
      </c>
      <c r="C9" s="51">
        <f t="shared" si="0"/>
        <v>1232.5809295800004</v>
      </c>
      <c r="D9" s="69">
        <f t="shared" si="1"/>
        <v>1694.7987781725003</v>
      </c>
      <c r="F9" s="21"/>
      <c r="G9" s="21"/>
      <c r="H9" s="51">
        <v>1151.9447940000002</v>
      </c>
      <c r="I9" s="49">
        <v>1583.9240917500001</v>
      </c>
    </row>
    <row r="10" spans="2:9" s="7" customFormat="1" ht="17">
      <c r="B10" s="93" t="s">
        <v>66</v>
      </c>
      <c r="C10" s="102">
        <f t="shared" si="0"/>
        <v>1386.6535457774999</v>
      </c>
      <c r="D10" s="95">
        <f t="shared" si="1"/>
        <v>1694.7987781725003</v>
      </c>
      <c r="F10" s="21"/>
      <c r="G10" s="21"/>
      <c r="H10" s="52">
        <v>1295.9378932499999</v>
      </c>
      <c r="I10" s="43">
        <v>1583.9240917500001</v>
      </c>
    </row>
    <row r="11" spans="2:9" s="7" customFormat="1" ht="17">
      <c r="B11" s="22" t="s">
        <v>67</v>
      </c>
      <c r="C11" s="51">
        <f t="shared" si="0"/>
        <v>1078.5083133825001</v>
      </c>
      <c r="D11" s="69">
        <f t="shared" si="1"/>
        <v>1386.6535457774999</v>
      </c>
      <c r="F11" s="21"/>
      <c r="G11" s="21"/>
      <c r="H11" s="51">
        <v>1007.9516947500001</v>
      </c>
      <c r="I11" s="49">
        <v>1295.9378932499999</v>
      </c>
    </row>
    <row r="12" spans="2:9" s="7" customFormat="1" ht="17">
      <c r="B12" s="93" t="s">
        <v>121</v>
      </c>
      <c r="C12" s="102">
        <f t="shared" si="0"/>
        <v>1694.0133000000001</v>
      </c>
      <c r="D12" s="95">
        <f t="shared" si="1"/>
        <v>2002.9437000000003</v>
      </c>
      <c r="F12" s="21"/>
      <c r="G12" s="21"/>
      <c r="H12" s="52">
        <f>H6</f>
        <v>1583.19</v>
      </c>
      <c r="I12" s="43">
        <f>I6</f>
        <v>1871.91</v>
      </c>
    </row>
    <row r="13" spans="2:9" s="7" customFormat="1" ht="17">
      <c r="B13" s="22" t="s">
        <v>124</v>
      </c>
      <c r="C13" s="51">
        <f t="shared" si="0"/>
        <v>2203.2384116242501</v>
      </c>
      <c r="D13" s="69">
        <f t="shared" si="1"/>
        <v>2739.9246913788761</v>
      </c>
      <c r="F13" s="21"/>
      <c r="G13" s="21"/>
      <c r="H13" s="51">
        <f>H46</f>
        <v>2059.1013192750002</v>
      </c>
      <c r="I13" s="49">
        <f>I46</f>
        <v>2560.6772816625007</v>
      </c>
    </row>
    <row r="14" spans="2:9" s="7" customFormat="1" ht="17">
      <c r="B14" s="93" t="s">
        <v>123</v>
      </c>
      <c r="C14" s="102">
        <f t="shared" si="0"/>
        <v>1386.6535457774999</v>
      </c>
      <c r="D14" s="95">
        <f t="shared" si="1"/>
        <v>1694.7987781725003</v>
      </c>
      <c r="F14" s="21"/>
      <c r="G14" s="21"/>
      <c r="H14" s="52">
        <f>H10</f>
        <v>1295.9378932499999</v>
      </c>
      <c r="I14" s="43">
        <f>I10</f>
        <v>1583.9240917500001</v>
      </c>
    </row>
    <row r="15" spans="2:9" s="7" customFormat="1" ht="17">
      <c r="B15" s="22" t="s">
        <v>68</v>
      </c>
      <c r="C15" s="51">
        <f t="shared" si="0"/>
        <v>1386.6535457774999</v>
      </c>
      <c r="D15" s="69">
        <f t="shared" si="1"/>
        <v>1694.7987781725003</v>
      </c>
      <c r="F15" s="21"/>
      <c r="G15" s="21"/>
      <c r="H15" s="51">
        <v>1295.9378932499999</v>
      </c>
      <c r="I15" s="49">
        <v>1583.9240917500001</v>
      </c>
    </row>
    <row r="16" spans="2:9" s="7" customFormat="1" ht="17">
      <c r="B16" s="93" t="s">
        <v>69</v>
      </c>
      <c r="C16" s="102">
        <f t="shared" si="0"/>
        <v>1232.5809295800004</v>
      </c>
      <c r="D16" s="95">
        <f t="shared" si="1"/>
        <v>1694.7987781725003</v>
      </c>
      <c r="F16" s="21"/>
      <c r="G16" s="21"/>
      <c r="H16" s="52">
        <v>1151.9447940000002</v>
      </c>
      <c r="I16" s="43">
        <v>1583.9240917500001</v>
      </c>
    </row>
    <row r="17" spans="2:9" s="7" customFormat="1" ht="17">
      <c r="B17" s="22" t="s">
        <v>70</v>
      </c>
      <c r="C17" s="51">
        <f t="shared" si="0"/>
        <v>1694.0086621920002</v>
      </c>
      <c r="D17" s="69">
        <f t="shared" si="1"/>
        <v>2002.9440105675005</v>
      </c>
      <c r="F17" s="21"/>
      <c r="G17" s="21"/>
      <c r="H17" s="51">
        <v>1583.1856656</v>
      </c>
      <c r="I17" s="49">
        <v>1871.9102902500003</v>
      </c>
    </row>
    <row r="18" spans="2:9" s="7" customFormat="1" ht="17">
      <c r="B18" s="93" t="s">
        <v>126</v>
      </c>
      <c r="C18" s="102">
        <f t="shared" si="0"/>
        <v>2203.2384116242501</v>
      </c>
      <c r="D18" s="95">
        <f t="shared" si="1"/>
        <v>2739.9246913788761</v>
      </c>
      <c r="F18" s="21"/>
      <c r="G18" s="21"/>
      <c r="H18" s="52">
        <f>H44</f>
        <v>2059.1013192750002</v>
      </c>
      <c r="I18" s="43">
        <f>I44</f>
        <v>2560.6772816625007</v>
      </c>
    </row>
    <row r="19" spans="2:9" s="7" customFormat="1" ht="17">
      <c r="B19" s="22" t="s">
        <v>71</v>
      </c>
      <c r="C19" s="51">
        <f t="shared" si="0"/>
        <v>1540.3311039847499</v>
      </c>
      <c r="D19" s="69">
        <f t="shared" si="1"/>
        <v>1848.8713943700002</v>
      </c>
      <c r="F19" s="21"/>
      <c r="G19" s="21"/>
      <c r="H19" s="51">
        <v>1439.5617794249999</v>
      </c>
      <c r="I19" s="49">
        <v>1727.917191</v>
      </c>
    </row>
    <row r="20" spans="2:9" s="7" customFormat="1" ht="17">
      <c r="B20" s="93" t="s">
        <v>72</v>
      </c>
      <c r="C20" s="102">
        <f t="shared" si="0"/>
        <v>1078.5083133825001</v>
      </c>
      <c r="D20" s="95">
        <f t="shared" si="1"/>
        <v>1386.6535457774999</v>
      </c>
      <c r="F20" s="21"/>
      <c r="G20" s="21"/>
      <c r="H20" s="52">
        <v>1007.9516947500001</v>
      </c>
      <c r="I20" s="43">
        <v>1295.9378932499999</v>
      </c>
    </row>
    <row r="21" spans="2:9" s="7" customFormat="1" ht="17">
      <c r="B21" s="22" t="s">
        <v>73</v>
      </c>
      <c r="C21" s="51">
        <f t="shared" si="0"/>
        <v>1540.3311039847499</v>
      </c>
      <c r="D21" s="69">
        <f t="shared" si="1"/>
        <v>1848.8713943700002</v>
      </c>
      <c r="F21" s="21"/>
      <c r="G21" s="21"/>
      <c r="H21" s="51">
        <v>1439.5617794249999</v>
      </c>
      <c r="I21" s="49">
        <v>1727.917191</v>
      </c>
    </row>
    <row r="22" spans="2:9" s="7" customFormat="1" ht="17">
      <c r="B22" s="93" t="s">
        <v>118</v>
      </c>
      <c r="C22" s="102">
        <f t="shared" si="0"/>
        <v>1794.9459787008755</v>
      </c>
      <c r="D22" s="95">
        <f t="shared" si="1"/>
        <v>2217.3617347756876</v>
      </c>
      <c r="F22" s="21"/>
      <c r="G22" s="21"/>
      <c r="H22" s="52">
        <f>H37</f>
        <v>1677.5196062625002</v>
      </c>
      <c r="I22" s="43">
        <f>I37</f>
        <v>2072.30068670625</v>
      </c>
    </row>
    <row r="23" spans="2:9" s="7" customFormat="1" ht="17">
      <c r="B23" s="22" t="s">
        <v>74</v>
      </c>
      <c r="C23" s="51">
        <f t="shared" si="0"/>
        <v>1386.6535457774999</v>
      </c>
      <c r="D23" s="69">
        <f t="shared" si="1"/>
        <v>1694.7987781725003</v>
      </c>
      <c r="F23" s="21"/>
      <c r="G23" s="21"/>
      <c r="H23" s="51">
        <v>1295.9378932499999</v>
      </c>
      <c r="I23" s="49">
        <v>1583.9240917500001</v>
      </c>
    </row>
    <row r="24" spans="2:9" s="7" customFormat="1" ht="17">
      <c r="B24" s="93" t="s">
        <v>75</v>
      </c>
      <c r="C24" s="102">
        <f t="shared" si="0"/>
        <v>1540.3311039847499</v>
      </c>
      <c r="D24" s="95">
        <f t="shared" si="1"/>
        <v>1848.8713943700002</v>
      </c>
      <c r="F24" s="21"/>
      <c r="G24" s="21"/>
      <c r="H24" s="52">
        <v>1439.5617794249999</v>
      </c>
      <c r="I24" s="43">
        <v>1727.917191</v>
      </c>
    </row>
    <row r="25" spans="2:9" s="7" customFormat="1" ht="17">
      <c r="B25" s="22" t="s">
        <v>76</v>
      </c>
      <c r="C25" s="51">
        <f t="shared" si="0"/>
        <v>2203.2384116242501</v>
      </c>
      <c r="D25" s="69">
        <f t="shared" si="1"/>
        <v>2739.9246913788761</v>
      </c>
      <c r="F25" s="21"/>
      <c r="G25" s="21"/>
      <c r="H25" s="51">
        <v>2059.1013192750002</v>
      </c>
      <c r="I25" s="49">
        <v>2560.6772816625007</v>
      </c>
    </row>
    <row r="26" spans="2:9" s="7" customFormat="1" ht="17">
      <c r="B26" s="93" t="s">
        <v>77</v>
      </c>
      <c r="C26" s="102">
        <f t="shared" si="0"/>
        <v>1232.5809295800004</v>
      </c>
      <c r="D26" s="95">
        <f t="shared" si="1"/>
        <v>1694.7987781725003</v>
      </c>
      <c r="F26" s="21"/>
      <c r="G26" s="21"/>
      <c r="H26" s="52">
        <v>1151.9447940000002</v>
      </c>
      <c r="I26" s="43">
        <v>1583.9240917500001</v>
      </c>
    </row>
    <row r="27" spans="2:9" s="7" customFormat="1" ht="17">
      <c r="B27" s="22" t="s">
        <v>78</v>
      </c>
      <c r="C27" s="51">
        <f t="shared" si="0"/>
        <v>1386.6535457774999</v>
      </c>
      <c r="D27" s="69">
        <f t="shared" si="1"/>
        <v>1694.7987781725003</v>
      </c>
      <c r="F27" s="21"/>
      <c r="G27" s="21"/>
      <c r="H27" s="51">
        <v>1295.9378932499999</v>
      </c>
      <c r="I27" s="49">
        <v>1583.9240917500001</v>
      </c>
    </row>
    <row r="28" spans="2:9" s="7" customFormat="1" ht="17">
      <c r="B28" s="93" t="s">
        <v>125</v>
      </c>
      <c r="C28" s="102">
        <f t="shared" si="0"/>
        <v>2203.2384116242501</v>
      </c>
      <c r="D28" s="95">
        <f t="shared" si="1"/>
        <v>2739.9246913788761</v>
      </c>
      <c r="F28" s="21"/>
      <c r="G28" s="21"/>
      <c r="H28" s="52">
        <f>H40</f>
        <v>2059.1013192750002</v>
      </c>
      <c r="I28" s="43">
        <f>I40</f>
        <v>2560.6772816625007</v>
      </c>
    </row>
    <row r="29" spans="2:9" s="7" customFormat="1" ht="17">
      <c r="B29" s="22" t="s">
        <v>79</v>
      </c>
      <c r="C29" s="51">
        <f t="shared" si="0"/>
        <v>1386.6535457774999</v>
      </c>
      <c r="D29" s="69">
        <f t="shared" si="1"/>
        <v>1694.7987781725003</v>
      </c>
      <c r="F29" s="21"/>
      <c r="G29" s="21"/>
      <c r="H29" s="51">
        <v>1295.9378932499999</v>
      </c>
      <c r="I29" s="49">
        <v>1583.9240917500001</v>
      </c>
    </row>
    <row r="30" spans="2:9" s="7" customFormat="1" ht="17">
      <c r="B30" s="93" t="s">
        <v>80</v>
      </c>
      <c r="C30" s="102">
        <f t="shared" si="0"/>
        <v>1386.6535457774999</v>
      </c>
      <c r="D30" s="95">
        <f t="shared" si="1"/>
        <v>1694.7987781725003</v>
      </c>
      <c r="F30" s="21"/>
      <c r="G30" s="21"/>
      <c r="H30" s="52">
        <v>1295.9378932499999</v>
      </c>
      <c r="I30" s="43">
        <v>1583.9240917500001</v>
      </c>
    </row>
    <row r="31" spans="2:9" s="7" customFormat="1" ht="17">
      <c r="B31" s="22" t="s">
        <v>81</v>
      </c>
      <c r="C31" s="51">
        <f t="shared" si="0"/>
        <v>1540.3311039847499</v>
      </c>
      <c r="D31" s="69">
        <f t="shared" si="1"/>
        <v>1848.8713943700002</v>
      </c>
      <c r="F31" s="21"/>
      <c r="G31" s="21"/>
      <c r="H31" s="51">
        <v>1439.5617794249999</v>
      </c>
      <c r="I31" s="49">
        <v>1727.917191</v>
      </c>
    </row>
    <row r="32" spans="2:9" s="7" customFormat="1" ht="17">
      <c r="B32" s="93" t="s">
        <v>119</v>
      </c>
      <c r="C32" s="102">
        <f t="shared" si="0"/>
        <v>1386.6535457774999</v>
      </c>
      <c r="D32" s="95">
        <f t="shared" si="1"/>
        <v>1694.7987781725003</v>
      </c>
      <c r="F32" s="21"/>
      <c r="G32" s="21"/>
      <c r="H32" s="105">
        <f>H14</f>
        <v>1295.9378932499999</v>
      </c>
      <c r="I32" s="107">
        <f>I14</f>
        <v>1583.9240917500001</v>
      </c>
    </row>
    <row r="33" spans="2:9" s="7" customFormat="1" ht="17">
      <c r="B33" s="22" t="s">
        <v>82</v>
      </c>
      <c r="C33" s="51">
        <f t="shared" si="0"/>
        <v>1540.3311039847499</v>
      </c>
      <c r="D33" s="69">
        <f t="shared" si="1"/>
        <v>1848.8713943700002</v>
      </c>
      <c r="F33" s="21"/>
      <c r="G33" s="21"/>
      <c r="H33" s="51">
        <v>1439.5617794249999</v>
      </c>
      <c r="I33" s="49">
        <v>1727.917191</v>
      </c>
    </row>
    <row r="34" spans="2:9" s="7" customFormat="1" ht="17">
      <c r="B34" s="93" t="s">
        <v>83</v>
      </c>
      <c r="C34" s="102">
        <f t="shared" si="0"/>
        <v>1540.3311039847499</v>
      </c>
      <c r="D34" s="95">
        <f t="shared" si="1"/>
        <v>1848.8713943700002</v>
      </c>
      <c r="F34" s="21"/>
      <c r="G34" s="21"/>
      <c r="H34" s="52">
        <v>1439.5617794249999</v>
      </c>
      <c r="I34" s="43">
        <v>1727.917191</v>
      </c>
    </row>
    <row r="35" spans="2:9" s="7" customFormat="1" ht="17">
      <c r="B35" s="22" t="s">
        <v>84</v>
      </c>
      <c r="C35" s="51">
        <f t="shared" si="0"/>
        <v>1386.6535457774999</v>
      </c>
      <c r="D35" s="69">
        <f t="shared" si="1"/>
        <v>1694.7987781725003</v>
      </c>
      <c r="F35" s="21"/>
      <c r="G35" s="21"/>
      <c r="H35" s="51">
        <v>1295.9378932499999</v>
      </c>
      <c r="I35" s="49">
        <v>1583.9240917500001</v>
      </c>
    </row>
    <row r="36" spans="2:9" s="7" customFormat="1" ht="17">
      <c r="B36" s="93" t="s">
        <v>85</v>
      </c>
      <c r="C36" s="102">
        <f t="shared" si="0"/>
        <v>2203.2384116242501</v>
      </c>
      <c r="D36" s="95">
        <f t="shared" si="1"/>
        <v>2739.9246913788761</v>
      </c>
      <c r="F36" s="21"/>
      <c r="G36" s="21"/>
      <c r="H36" s="52">
        <v>2059.1013192750002</v>
      </c>
      <c r="I36" s="43">
        <v>2560.6772816625007</v>
      </c>
    </row>
    <row r="37" spans="2:9" s="7" customFormat="1" ht="17">
      <c r="B37" s="22" t="s">
        <v>86</v>
      </c>
      <c r="C37" s="51">
        <f t="shared" si="0"/>
        <v>1794.9459787008755</v>
      </c>
      <c r="D37" s="69">
        <f t="shared" si="1"/>
        <v>2217.3617347756876</v>
      </c>
      <c r="F37" s="21"/>
      <c r="G37" s="21"/>
      <c r="H37" s="51">
        <v>1677.5196062625002</v>
      </c>
      <c r="I37" s="49">
        <v>2072.30068670625</v>
      </c>
    </row>
    <row r="38" spans="2:9" s="7" customFormat="1" ht="17">
      <c r="B38" s="93" t="s">
        <v>87</v>
      </c>
      <c r="C38" s="102">
        <f t="shared" si="0"/>
        <v>2403.5328126810005</v>
      </c>
      <c r="D38" s="95">
        <f t="shared" si="1"/>
        <v>2989.0087542315005</v>
      </c>
      <c r="F38" s="21"/>
      <c r="G38" s="21"/>
      <c r="H38" s="52">
        <v>2246.2923483000004</v>
      </c>
      <c r="I38" s="43">
        <v>2793.4661254500002</v>
      </c>
    </row>
    <row r="39" spans="2:9" s="7" customFormat="1" ht="17">
      <c r="B39" s="22" t="s">
        <v>88</v>
      </c>
      <c r="C39" s="51">
        <f t="shared" si="0"/>
        <v>1386.6535457774999</v>
      </c>
      <c r="D39" s="69">
        <f t="shared" si="1"/>
        <v>1694.7987781725003</v>
      </c>
      <c r="F39" s="21"/>
      <c r="G39" s="21"/>
      <c r="H39" s="51">
        <v>1295.9378932499999</v>
      </c>
      <c r="I39" s="49">
        <v>1583.9240917500001</v>
      </c>
    </row>
    <row r="40" spans="2:9" s="7" customFormat="1" ht="17">
      <c r="B40" s="93" t="s">
        <v>89</v>
      </c>
      <c r="C40" s="102">
        <f t="shared" si="0"/>
        <v>2203.2384116242501</v>
      </c>
      <c r="D40" s="95">
        <f t="shared" si="1"/>
        <v>2739.9246913788761</v>
      </c>
      <c r="F40" s="21"/>
      <c r="G40" s="21"/>
      <c r="H40" s="52">
        <v>2059.1013192750002</v>
      </c>
      <c r="I40" s="43">
        <v>2560.6772816625007</v>
      </c>
    </row>
    <row r="41" spans="2:9" s="7" customFormat="1" ht="17">
      <c r="B41" s="22" t="s">
        <v>122</v>
      </c>
      <c r="C41" s="51">
        <f t="shared" si="0"/>
        <v>2203.2384116242501</v>
      </c>
      <c r="D41" s="69">
        <f t="shared" si="1"/>
        <v>2739.9246913788761</v>
      </c>
      <c r="F41" s="21"/>
      <c r="G41" s="21"/>
      <c r="H41" s="52">
        <f>H46</f>
        <v>2059.1013192750002</v>
      </c>
      <c r="I41" s="43">
        <f>I46</f>
        <v>2560.6772816625007</v>
      </c>
    </row>
    <row r="42" spans="2:9" s="7" customFormat="1" ht="17">
      <c r="B42" s="93" t="s">
        <v>90</v>
      </c>
      <c r="C42" s="102">
        <f t="shared" si="0"/>
        <v>1386.6535457774999</v>
      </c>
      <c r="D42" s="95">
        <f t="shared" si="1"/>
        <v>1694.7987781725003</v>
      </c>
      <c r="F42" s="21"/>
      <c r="G42" s="21"/>
      <c r="H42" s="51">
        <v>1295.9378932499999</v>
      </c>
      <c r="I42" s="49">
        <v>1583.9240917500001</v>
      </c>
    </row>
    <row r="43" spans="2:9" s="7" customFormat="1" ht="17">
      <c r="B43" s="22" t="s">
        <v>91</v>
      </c>
      <c r="C43" s="51">
        <f t="shared" si="0"/>
        <v>1386.6535457774999</v>
      </c>
      <c r="D43" s="69">
        <f t="shared" si="1"/>
        <v>1694.7987781725003</v>
      </c>
      <c r="F43" s="21"/>
      <c r="G43" s="21"/>
      <c r="H43" s="51">
        <v>1295.9378932499999</v>
      </c>
      <c r="I43" s="49">
        <v>1583.9240917500001</v>
      </c>
    </row>
    <row r="44" spans="2:9" s="7" customFormat="1" ht="18" thickBot="1">
      <c r="B44" s="93" t="s">
        <v>92</v>
      </c>
      <c r="C44" s="102">
        <f t="shared" si="0"/>
        <v>2203.2384116242501</v>
      </c>
      <c r="D44" s="95">
        <f t="shared" si="1"/>
        <v>2739.9246913788761</v>
      </c>
      <c r="F44" s="21"/>
      <c r="G44" s="21"/>
      <c r="H44" s="108">
        <v>2059.1013192750002</v>
      </c>
      <c r="I44" s="109">
        <v>2560.6772816625007</v>
      </c>
    </row>
    <row r="45" spans="2:9" s="7" customFormat="1" ht="17">
      <c r="B45" s="22" t="s">
        <v>120</v>
      </c>
      <c r="C45" s="51">
        <f t="shared" ref="C45:C49" si="2">H45*(1+$I$2)</f>
        <v>1540.3311039847499</v>
      </c>
      <c r="D45" s="69">
        <f t="shared" ref="D45:D49" si="3">I45*(1+$I$2)</f>
        <v>1848.8713943700002</v>
      </c>
      <c r="F45" s="21"/>
      <c r="G45" s="21"/>
      <c r="H45" s="51">
        <f>H21</f>
        <v>1439.5617794249999</v>
      </c>
      <c r="I45" s="49">
        <f>I21</f>
        <v>1727.917191</v>
      </c>
    </row>
    <row r="46" spans="2:9" s="7" customFormat="1" ht="18" thickBot="1">
      <c r="B46" s="93" t="s">
        <v>93</v>
      </c>
      <c r="C46" s="102">
        <f t="shared" si="2"/>
        <v>2203.2384116242501</v>
      </c>
      <c r="D46" s="98">
        <f t="shared" si="3"/>
        <v>2739.9246913788761</v>
      </c>
      <c r="F46" s="21"/>
      <c r="G46" s="21"/>
      <c r="H46" s="52">
        <v>2059.1013192750002</v>
      </c>
      <c r="I46" s="43">
        <v>2560.6772816625007</v>
      </c>
    </row>
    <row r="47" spans="2:9" s="5" customFormat="1" ht="18" thickBot="1">
      <c r="B47" s="87" t="s">
        <v>58</v>
      </c>
      <c r="C47" s="103" t="s">
        <v>129</v>
      </c>
      <c r="D47" s="132" t="s">
        <v>130</v>
      </c>
      <c r="F47" s="18"/>
      <c r="H47" s="103" t="s">
        <v>129</v>
      </c>
      <c r="I47" s="100" t="s">
        <v>130</v>
      </c>
    </row>
    <row r="48" spans="2:9" s="7" customFormat="1" ht="17">
      <c r="B48" s="22" t="s">
        <v>94</v>
      </c>
      <c r="C48" s="51">
        <f t="shared" si="2"/>
        <v>1386.6535457774999</v>
      </c>
      <c r="D48" s="69">
        <f t="shared" si="3"/>
        <v>1694.7987781725003</v>
      </c>
      <c r="F48" s="21"/>
      <c r="G48" s="21"/>
      <c r="H48" s="51">
        <v>1295.9378932499999</v>
      </c>
      <c r="I48" s="49">
        <v>1583.9240917500001</v>
      </c>
    </row>
    <row r="49" spans="2:9" s="7" customFormat="1" ht="18" thickBot="1">
      <c r="B49" s="90" t="s">
        <v>95</v>
      </c>
      <c r="C49" s="104">
        <f t="shared" si="2"/>
        <v>1078.5083133825001</v>
      </c>
      <c r="D49" s="99">
        <f t="shared" si="3"/>
        <v>1386.6535457774999</v>
      </c>
      <c r="F49" s="21"/>
      <c r="G49" s="21"/>
      <c r="H49" s="53">
        <v>1007.9516947500001</v>
      </c>
      <c r="I49" s="44">
        <v>1295.9378932499999</v>
      </c>
    </row>
    <row r="50" spans="2:9" s="7" customFormat="1" ht="18" thickBot="1">
      <c r="B50" s="23"/>
      <c r="C50" s="23"/>
      <c r="D50" s="23"/>
      <c r="E50" s="2"/>
      <c r="F50" s="2"/>
      <c r="G50" s="2"/>
      <c r="H50" s="2"/>
    </row>
    <row r="51" spans="2:9" s="7" customFormat="1" ht="17">
      <c r="B51" s="227" t="s">
        <v>56</v>
      </c>
      <c r="C51" s="228"/>
      <c r="D51" s="229"/>
      <c r="E51" s="2"/>
      <c r="F51" s="2"/>
      <c r="G51" s="2"/>
      <c r="H51" s="2"/>
    </row>
    <row r="52" spans="2:9" ht="82" customHeight="1">
      <c r="B52" s="170" t="s">
        <v>127</v>
      </c>
      <c r="C52" s="171"/>
      <c r="D52" s="172"/>
    </row>
    <row r="53" spans="2:9" ht="55" customHeight="1" thickBot="1">
      <c r="B53" s="164" t="s">
        <v>131</v>
      </c>
      <c r="C53" s="165"/>
      <c r="D53" s="166"/>
    </row>
  </sheetData>
  <mergeCells count="4">
    <mergeCell ref="B2:D2"/>
    <mergeCell ref="B51:D51"/>
    <mergeCell ref="B52:D52"/>
    <mergeCell ref="B53:D53"/>
  </mergeCells>
  <printOptions horizontalCentered="1"/>
  <pageMargins left="0.25" right="0.25" top="0.75" bottom="0.75" header="0.3" footer="0.3"/>
  <pageSetup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281A-6D77-9142-888F-092C16AAD975}">
  <sheetPr codeName="Sheet8">
    <pageSetUpPr fitToPage="1"/>
  </sheetPr>
  <dimension ref="B1:M23"/>
  <sheetViews>
    <sheetView showGridLines="0" zoomScale="143" zoomScaleNormal="143" zoomScalePageLayoutView="80" workbookViewId="0">
      <selection activeCell="C4" sqref="C4"/>
    </sheetView>
  </sheetViews>
  <sheetFormatPr baseColWidth="10" defaultColWidth="10.83203125" defaultRowHeight="16"/>
  <cols>
    <col min="1" max="1" width="2.6640625" style="2" customWidth="1"/>
    <col min="2" max="2" width="27.83203125" style="4" bestFit="1" customWidth="1"/>
    <col min="3" max="4" width="14.83203125" style="4" customWidth="1"/>
    <col min="5" max="5" width="10.83203125" style="2"/>
    <col min="6" max="6" width="9.6640625" style="2" bestFit="1" customWidth="1"/>
    <col min="7" max="7" width="11.6640625" style="2" bestFit="1" customWidth="1"/>
    <col min="8" max="8" width="14" style="2" bestFit="1" customWidth="1"/>
    <col min="9" max="9" width="10.33203125" style="2" bestFit="1" customWidth="1"/>
    <col min="10" max="10" width="11.33203125" style="2" bestFit="1" customWidth="1"/>
    <col min="11" max="16384" width="10.83203125" style="2"/>
  </cols>
  <sheetData>
    <row r="1" spans="2:13" ht="17" thickBot="1">
      <c r="B1" s="2"/>
      <c r="C1" s="2"/>
      <c r="D1" s="2"/>
    </row>
    <row r="2" spans="2:13" s="5" customFormat="1" ht="20" customHeight="1" thickBot="1">
      <c r="B2" s="156" t="s">
        <v>97</v>
      </c>
      <c r="C2" s="157"/>
      <c r="D2" s="158"/>
      <c r="G2" s="2"/>
      <c r="H2" s="2"/>
      <c r="I2" s="2"/>
      <c r="J2" s="2"/>
      <c r="K2" s="2"/>
      <c r="L2" s="2"/>
      <c r="M2" s="2"/>
    </row>
    <row r="3" spans="2:13" s="7" customFormat="1" ht="18" thickBot="1">
      <c r="B3" s="230" t="s">
        <v>58</v>
      </c>
      <c r="C3" s="87" t="s">
        <v>129</v>
      </c>
      <c r="D3" s="106" t="s">
        <v>130</v>
      </c>
      <c r="F3" s="5"/>
      <c r="G3" s="2"/>
      <c r="H3" s="2"/>
      <c r="I3" s="2"/>
      <c r="J3" s="2"/>
      <c r="K3" s="2"/>
      <c r="L3" s="2"/>
      <c r="M3" s="2"/>
    </row>
    <row r="4" spans="2:13" s="7" customFormat="1" ht="18" thickBot="1">
      <c r="B4" s="231"/>
      <c r="C4" s="25">
        <f>H4*(1+$F$4)</f>
        <v>925.71906000000024</v>
      </c>
      <c r="D4" s="25">
        <f>I4*(1+$F$4)</f>
        <v>1271.2290150000001</v>
      </c>
      <c r="F4" s="26">
        <v>7.0000000000000007E-2</v>
      </c>
      <c r="G4" s="2"/>
      <c r="H4" s="27">
        <v>865.15800000000013</v>
      </c>
      <c r="I4" s="28">
        <v>1188.0645</v>
      </c>
      <c r="J4" s="29">
        <v>1699.8450000000003</v>
      </c>
      <c r="K4" s="2"/>
      <c r="L4" s="2"/>
      <c r="M4" s="2"/>
    </row>
    <row r="5" spans="2:13" s="7" customFormat="1" ht="18" thickBot="1">
      <c r="B5" s="112" t="s">
        <v>14</v>
      </c>
      <c r="C5" s="232" t="s">
        <v>98</v>
      </c>
      <c r="D5" s="233"/>
      <c r="F5" s="5"/>
      <c r="G5" s="2"/>
      <c r="H5" s="195" t="s">
        <v>99</v>
      </c>
      <c r="I5" s="196"/>
      <c r="J5" s="197"/>
      <c r="K5" s="2"/>
      <c r="L5" s="2"/>
      <c r="M5" s="2"/>
    </row>
    <row r="6" spans="2:13" s="7" customFormat="1" ht="18" thickBot="1">
      <c r="B6" s="30" t="s">
        <v>100</v>
      </c>
      <c r="C6" s="195" t="s">
        <v>101</v>
      </c>
      <c r="D6" s="197"/>
      <c r="F6" s="5"/>
      <c r="G6" s="2"/>
      <c r="H6" s="198" t="s">
        <v>102</v>
      </c>
      <c r="I6" s="199"/>
      <c r="J6" s="200"/>
      <c r="K6" s="2"/>
      <c r="L6" s="2"/>
      <c r="M6" s="2"/>
    </row>
    <row r="7" spans="2:13" s="7" customFormat="1" ht="18" thickBot="1">
      <c r="B7" s="112" t="s">
        <v>36</v>
      </c>
      <c r="C7" s="232" t="s">
        <v>103</v>
      </c>
      <c r="D7" s="233"/>
      <c r="F7" s="5"/>
      <c r="G7" s="2"/>
      <c r="H7" s="195" t="s">
        <v>104</v>
      </c>
      <c r="I7" s="196"/>
      <c r="J7" s="197"/>
      <c r="K7" s="2"/>
      <c r="L7" s="2"/>
      <c r="M7" s="2"/>
    </row>
    <row r="8" spans="2:13" s="7" customFormat="1" ht="18" thickBot="1">
      <c r="B8" s="30" t="s">
        <v>42</v>
      </c>
      <c r="C8" s="195" t="s">
        <v>105</v>
      </c>
      <c r="D8" s="197"/>
      <c r="F8" s="5"/>
      <c r="G8" s="2"/>
      <c r="H8" s="198" t="s">
        <v>106</v>
      </c>
      <c r="I8" s="199"/>
      <c r="J8" s="200"/>
      <c r="K8" s="2"/>
      <c r="L8" s="2"/>
      <c r="M8" s="2"/>
    </row>
    <row r="9" spans="2:13" s="7" customFormat="1" ht="18" thickBot="1">
      <c r="B9" s="112" t="s">
        <v>107</v>
      </c>
      <c r="C9" s="232" t="s">
        <v>103</v>
      </c>
      <c r="D9" s="233"/>
      <c r="F9" s="5"/>
      <c r="G9" s="2"/>
      <c r="H9" s="195" t="s">
        <v>104</v>
      </c>
      <c r="I9" s="196"/>
      <c r="J9" s="197"/>
      <c r="K9" s="2"/>
      <c r="L9" s="2"/>
      <c r="M9" s="2"/>
    </row>
    <row r="10" spans="2:13" s="7" customFormat="1" ht="18" thickBot="1">
      <c r="B10" s="30" t="s">
        <v>48</v>
      </c>
      <c r="C10" s="195" t="s">
        <v>108</v>
      </c>
      <c r="D10" s="197"/>
      <c r="G10" s="2"/>
      <c r="H10" s="198" t="s">
        <v>104</v>
      </c>
      <c r="I10" s="199"/>
      <c r="J10" s="200"/>
      <c r="K10" s="2"/>
      <c r="L10" s="2"/>
      <c r="M10" s="2"/>
    </row>
    <row r="11" spans="2:13" ht="35" thickBot="1">
      <c r="B11" s="116" t="s">
        <v>109</v>
      </c>
      <c r="C11" s="232" t="s">
        <v>103</v>
      </c>
      <c r="D11" s="233"/>
      <c r="H11" s="198" t="s">
        <v>104</v>
      </c>
      <c r="I11" s="199"/>
      <c r="J11" s="200"/>
    </row>
    <row r="12" spans="2:13" ht="17" thickBot="1"/>
    <row r="13" spans="2:13" s="7" customFormat="1" ht="17">
      <c r="B13" s="234" t="s">
        <v>96</v>
      </c>
      <c r="C13" s="235"/>
      <c r="D13" s="236"/>
      <c r="G13" s="2"/>
      <c r="H13" s="2"/>
      <c r="I13" s="2"/>
      <c r="J13" s="2"/>
      <c r="K13" s="2"/>
      <c r="L13" s="2"/>
      <c r="M13" s="2"/>
    </row>
    <row r="14" spans="2:13" ht="179" customHeight="1" thickBot="1">
      <c r="B14" s="164" t="s">
        <v>134</v>
      </c>
      <c r="C14" s="165"/>
      <c r="D14" s="166"/>
      <c r="I14" s="32"/>
    </row>
    <row r="15" spans="2:13">
      <c r="B15" s="2"/>
      <c r="C15" s="2"/>
      <c r="D15" s="2"/>
    </row>
    <row r="16" spans="2:13" ht="39" customHeight="1"/>
    <row r="19" spans="2:4">
      <c r="B19" s="2"/>
      <c r="C19" s="2"/>
      <c r="D19" s="2"/>
    </row>
    <row r="20" spans="2:4" ht="18" customHeight="1">
      <c r="B20" s="2"/>
      <c r="C20" s="2"/>
      <c r="D20" s="2"/>
    </row>
    <row r="21" spans="2:4" ht="18" customHeight="1">
      <c r="B21" s="2"/>
      <c r="C21" s="2"/>
      <c r="D21" s="2"/>
    </row>
    <row r="22" spans="2:4" ht="18" customHeight="1">
      <c r="B22" s="2"/>
      <c r="C22" s="2"/>
      <c r="D22" s="2"/>
    </row>
    <row r="23" spans="2:4" ht="15" customHeight="1"/>
  </sheetData>
  <mergeCells count="18">
    <mergeCell ref="B13:D13"/>
    <mergeCell ref="B14:D14"/>
    <mergeCell ref="C10:D10"/>
    <mergeCell ref="H10:J10"/>
    <mergeCell ref="C11:D11"/>
    <mergeCell ref="H11:J11"/>
    <mergeCell ref="C7:D7"/>
    <mergeCell ref="H7:J7"/>
    <mergeCell ref="C8:D8"/>
    <mergeCell ref="H8:J8"/>
    <mergeCell ref="C9:D9"/>
    <mergeCell ref="H9:J9"/>
    <mergeCell ref="B2:D2"/>
    <mergeCell ref="B3:B4"/>
    <mergeCell ref="C5:D5"/>
    <mergeCell ref="H5:J5"/>
    <mergeCell ref="C6:D6"/>
    <mergeCell ref="H6:J6"/>
  </mergeCells>
  <printOptions horizontalCentered="1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EF64-1FB9-7F48-A016-0F504D26037E}">
  <sheetPr codeName="Sheet9">
    <pageSetUpPr fitToPage="1"/>
  </sheetPr>
  <dimension ref="B2:M72"/>
  <sheetViews>
    <sheetView showGridLines="0" topLeftCell="B34" zoomScale="180" zoomScaleNormal="180" zoomScalePageLayoutView="80" workbookViewId="0">
      <selection activeCell="K36" sqref="K36"/>
    </sheetView>
  </sheetViews>
  <sheetFormatPr baseColWidth="10" defaultColWidth="10.83203125" defaultRowHeight="15"/>
  <cols>
    <col min="1" max="1" width="2.6640625" customWidth="1"/>
    <col min="2" max="3" width="26" style="1" customWidth="1"/>
    <col min="4" max="4" width="12" style="1" customWidth="1"/>
    <col min="5" max="5" width="11.6640625" style="1" customWidth="1"/>
    <col min="6" max="6" width="23.1640625" style="1" customWidth="1"/>
    <col min="7" max="7" width="8.1640625" style="1" customWidth="1"/>
    <col min="8" max="8" width="6.33203125" customWidth="1"/>
    <col min="11" max="11" width="11.1640625" bestFit="1" customWidth="1"/>
    <col min="13" max="13" width="11.33203125" bestFit="1" customWidth="1"/>
  </cols>
  <sheetData>
    <row r="2" spans="2:11" s="2" customFormat="1" ht="17" customHeight="1">
      <c r="B2" s="37"/>
      <c r="C2" s="37"/>
      <c r="D2" s="37"/>
      <c r="E2" s="37"/>
      <c r="F2" s="37"/>
      <c r="G2" s="37"/>
    </row>
    <row r="3" spans="2:11" s="2" customFormat="1" ht="20">
      <c r="B3" s="37"/>
      <c r="C3" s="37"/>
      <c r="D3" s="37"/>
      <c r="E3" s="37"/>
      <c r="F3" s="45" t="s">
        <v>0</v>
      </c>
      <c r="G3" s="37"/>
    </row>
    <row r="4" spans="2:11" s="2" customFormat="1" ht="17" customHeight="1">
      <c r="B4" s="37"/>
      <c r="C4" s="37"/>
      <c r="D4" s="37"/>
      <c r="E4" s="37"/>
      <c r="F4" s="46" t="s">
        <v>1</v>
      </c>
      <c r="G4" s="37"/>
    </row>
    <row r="5" spans="2:11" s="2" customFormat="1" ht="17" customHeight="1">
      <c r="B5" s="37"/>
      <c r="C5" s="37"/>
      <c r="D5" s="37"/>
      <c r="E5" s="37"/>
      <c r="F5" s="46" t="s">
        <v>2</v>
      </c>
      <c r="G5" s="37"/>
    </row>
    <row r="6" spans="2:11" s="2" customFormat="1" ht="17">
      <c r="B6" s="37"/>
      <c r="C6" s="37"/>
      <c r="D6" s="37"/>
      <c r="E6" s="37"/>
      <c r="F6" s="46" t="s">
        <v>3</v>
      </c>
      <c r="G6" s="37"/>
    </row>
    <row r="7" spans="2:11" s="2" customFormat="1" ht="17">
      <c r="B7" s="37"/>
      <c r="C7" s="37"/>
      <c r="D7" s="37"/>
      <c r="E7" s="37"/>
      <c r="F7" s="47" t="s">
        <v>4</v>
      </c>
      <c r="G7" s="37"/>
    </row>
    <row r="8" spans="2:11" s="2" customFormat="1" ht="17">
      <c r="B8" s="38"/>
      <c r="C8" s="38"/>
      <c r="D8" s="38"/>
      <c r="E8" s="38"/>
      <c r="F8" s="46" t="s">
        <v>5</v>
      </c>
      <c r="G8" s="37"/>
    </row>
    <row r="9" spans="2:11" s="2" customFormat="1" ht="17" customHeight="1">
      <c r="B9" s="37"/>
      <c r="C9" s="37"/>
      <c r="D9" s="37"/>
      <c r="E9" s="37"/>
      <c r="F9" s="37"/>
      <c r="G9" s="37"/>
    </row>
    <row r="10" spans="2:11" s="2" customFormat="1" ht="28" customHeight="1">
      <c r="B10" s="133" t="s">
        <v>142</v>
      </c>
      <c r="C10" s="133"/>
      <c r="D10" s="133"/>
      <c r="E10" s="133"/>
      <c r="F10" s="133"/>
      <c r="G10" s="133"/>
      <c r="J10" s="3" t="s">
        <v>6</v>
      </c>
      <c r="K10" s="96">
        <v>7.0000000000000007E-2</v>
      </c>
    </row>
    <row r="11" spans="2:11" ht="10" customHeight="1">
      <c r="B11"/>
      <c r="C11"/>
      <c r="D11"/>
      <c r="E11"/>
      <c r="F11"/>
      <c r="G11"/>
    </row>
    <row r="12" spans="2:11" s="5" customFormat="1" ht="24" customHeight="1">
      <c r="B12" s="239" t="s">
        <v>139</v>
      </c>
      <c r="C12" s="239"/>
      <c r="D12" s="239"/>
      <c r="E12" s="239"/>
      <c r="F12" s="239"/>
      <c r="G12" s="239"/>
      <c r="I12" s="2"/>
    </row>
    <row r="13" spans="2:11" ht="10" customHeight="1" thickBot="1">
      <c r="B13"/>
      <c r="C13"/>
      <c r="D13"/>
      <c r="E13"/>
      <c r="F13"/>
      <c r="G13"/>
    </row>
    <row r="14" spans="2:11" s="5" customFormat="1" ht="22" customHeight="1" thickBot="1">
      <c r="B14" s="135" t="s">
        <v>8</v>
      </c>
      <c r="C14" s="136"/>
      <c r="D14" s="136"/>
      <c r="E14" s="136"/>
      <c r="F14" s="136"/>
      <c r="G14" s="137"/>
      <c r="I14" s="2"/>
    </row>
    <row r="15" spans="2:11" s="7" customFormat="1" ht="30" customHeight="1" thickBot="1">
      <c r="B15" s="240" t="s">
        <v>9</v>
      </c>
      <c r="C15" s="241"/>
      <c r="D15" s="117" t="s">
        <v>10</v>
      </c>
      <c r="E15" s="117" t="s">
        <v>59</v>
      </c>
      <c r="F15" s="242" t="s">
        <v>12</v>
      </c>
      <c r="G15" s="243"/>
      <c r="I15" s="2"/>
      <c r="J15" s="117" t="s">
        <v>10</v>
      </c>
      <c r="K15" s="122" t="s">
        <v>59</v>
      </c>
    </row>
    <row r="16" spans="2:11" s="7" customFormat="1" ht="32">
      <c r="B16" s="118" t="s">
        <v>13</v>
      </c>
      <c r="C16" s="119" t="s">
        <v>14</v>
      </c>
      <c r="D16" s="237">
        <f>D24</f>
        <v>6900</v>
      </c>
      <c r="E16" s="237">
        <f>K16*(1+$K$10)</f>
        <v>8560</v>
      </c>
      <c r="F16" s="244" t="s">
        <v>138</v>
      </c>
      <c r="G16" s="245"/>
      <c r="I16" s="2"/>
      <c r="J16" s="237">
        <f>J24</f>
        <v>6900</v>
      </c>
      <c r="K16" s="237">
        <f>K24</f>
        <v>8000</v>
      </c>
    </row>
    <row r="17" spans="2:13" s="7" customFormat="1" ht="33" thickBot="1">
      <c r="B17" s="120" t="s">
        <v>14</v>
      </c>
      <c r="C17" s="121" t="s">
        <v>13</v>
      </c>
      <c r="D17" s="238"/>
      <c r="E17" s="238"/>
      <c r="F17" s="246"/>
      <c r="G17" s="247"/>
      <c r="I17" s="2"/>
      <c r="J17" s="238"/>
      <c r="K17" s="238"/>
    </row>
    <row r="18" spans="2:13" s="7" customFormat="1" ht="32">
      <c r="B18" s="9" t="s">
        <v>16</v>
      </c>
      <c r="C18" s="10" t="s">
        <v>14</v>
      </c>
      <c r="D18" s="159">
        <f>D24</f>
        <v>6900</v>
      </c>
      <c r="E18" s="148">
        <f t="shared" ref="D18:E18" si="0">K18*(1+$K$10)</f>
        <v>8560</v>
      </c>
      <c r="F18" s="150" t="s">
        <v>138</v>
      </c>
      <c r="G18" s="151"/>
      <c r="I18" s="2"/>
      <c r="J18" s="159">
        <f>J24</f>
        <v>6900</v>
      </c>
      <c r="K18" s="148">
        <f>K24</f>
        <v>8000</v>
      </c>
      <c r="M18" s="11"/>
    </row>
    <row r="19" spans="2:13" s="7" customFormat="1" ht="33" thickBot="1">
      <c r="B19" s="12" t="s">
        <v>14</v>
      </c>
      <c r="C19" s="13" t="s">
        <v>16</v>
      </c>
      <c r="D19" s="160"/>
      <c r="E19" s="149"/>
      <c r="F19" s="152"/>
      <c r="G19" s="153"/>
      <c r="I19" s="2"/>
      <c r="J19" s="160"/>
      <c r="K19" s="149"/>
    </row>
    <row r="20" spans="2:13" s="7" customFormat="1" ht="32" customHeight="1">
      <c r="B20" s="118" t="s">
        <v>18</v>
      </c>
      <c r="C20" s="119" t="s">
        <v>14</v>
      </c>
      <c r="D20" s="248">
        <f>2600*(1+15%)</f>
        <v>2989.9999999999995</v>
      </c>
      <c r="E20" s="237">
        <f t="shared" ref="D20:E20" si="1">K20*(1+$K$10)</f>
        <v>3852</v>
      </c>
      <c r="F20" s="244" t="s">
        <v>138</v>
      </c>
      <c r="G20" s="245"/>
      <c r="I20" s="2"/>
      <c r="J20" s="248">
        <f>2600*(1+15%)</f>
        <v>2989.9999999999995</v>
      </c>
      <c r="K20" s="237">
        <v>3600</v>
      </c>
    </row>
    <row r="21" spans="2:13" s="7" customFormat="1" ht="33" thickBot="1">
      <c r="B21" s="120" t="s">
        <v>14</v>
      </c>
      <c r="C21" s="121" t="s">
        <v>18</v>
      </c>
      <c r="D21" s="249"/>
      <c r="E21" s="238"/>
      <c r="F21" s="246"/>
      <c r="G21" s="247"/>
      <c r="I21" s="2"/>
      <c r="J21" s="249"/>
      <c r="K21" s="238"/>
    </row>
    <row r="22" spans="2:13" s="7" customFormat="1" ht="32" customHeight="1">
      <c r="B22" s="9" t="s">
        <v>19</v>
      </c>
      <c r="C22" s="10" t="s">
        <v>14</v>
      </c>
      <c r="D22" s="159">
        <f>D24*(1+50%)</f>
        <v>10350</v>
      </c>
      <c r="E22" s="148">
        <f t="shared" ref="D22:E22" si="2">K22*(1+$K$10)</f>
        <v>12840</v>
      </c>
      <c r="F22" s="150" t="s">
        <v>138</v>
      </c>
      <c r="G22" s="151"/>
      <c r="I22" s="2"/>
      <c r="J22" s="159">
        <f>J24*(1+50%)</f>
        <v>10350</v>
      </c>
      <c r="K22" s="148">
        <f>K24*(1+50%)</f>
        <v>12000</v>
      </c>
      <c r="M22" s="11"/>
    </row>
    <row r="23" spans="2:13" s="7" customFormat="1" ht="33" thickBot="1">
      <c r="B23" s="12" t="s">
        <v>14</v>
      </c>
      <c r="C23" s="13" t="s">
        <v>19</v>
      </c>
      <c r="D23" s="160"/>
      <c r="E23" s="149"/>
      <c r="F23" s="152"/>
      <c r="G23" s="153"/>
      <c r="I23" s="2"/>
      <c r="J23" s="160"/>
      <c r="K23" s="149"/>
    </row>
    <row r="24" spans="2:13" s="7" customFormat="1" ht="32" customHeight="1">
      <c r="B24" s="118" t="s">
        <v>20</v>
      </c>
      <c r="C24" s="119" t="s">
        <v>14</v>
      </c>
      <c r="D24" s="248">
        <v>6900</v>
      </c>
      <c r="E24" s="237">
        <f t="shared" ref="D24:E24" si="3">K24*(1+$K$10)</f>
        <v>8560</v>
      </c>
      <c r="F24" s="244" t="s">
        <v>138</v>
      </c>
      <c r="G24" s="245"/>
      <c r="I24" s="2"/>
      <c r="J24" s="248">
        <v>6900</v>
      </c>
      <c r="K24" s="237">
        <v>8000</v>
      </c>
    </row>
    <row r="25" spans="2:13" s="7" customFormat="1" ht="33" thickBot="1">
      <c r="B25" s="120" t="s">
        <v>14</v>
      </c>
      <c r="C25" s="121" t="s">
        <v>20</v>
      </c>
      <c r="D25" s="249"/>
      <c r="E25" s="238"/>
      <c r="F25" s="246"/>
      <c r="G25" s="247"/>
      <c r="I25" s="2"/>
      <c r="J25" s="249"/>
      <c r="K25" s="238"/>
    </row>
    <row r="26" spans="2:13" s="7" customFormat="1" ht="32" customHeight="1">
      <c r="B26" s="9" t="s">
        <v>21</v>
      </c>
      <c r="C26" s="10" t="s">
        <v>14</v>
      </c>
      <c r="D26" s="159">
        <f>D24</f>
        <v>6900</v>
      </c>
      <c r="E26" s="148">
        <f t="shared" ref="D26:E26" si="4">K26*(1+$K$10)</f>
        <v>9095</v>
      </c>
      <c r="F26" s="150" t="s">
        <v>138</v>
      </c>
      <c r="G26" s="151"/>
      <c r="I26" s="2"/>
      <c r="J26" s="159">
        <f>J24</f>
        <v>6900</v>
      </c>
      <c r="K26" s="148">
        <v>8500</v>
      </c>
      <c r="M26" s="11"/>
    </row>
    <row r="27" spans="2:13" s="7" customFormat="1" ht="33" thickBot="1">
      <c r="B27" s="12" t="s">
        <v>14</v>
      </c>
      <c r="C27" s="13" t="s">
        <v>21</v>
      </c>
      <c r="D27" s="160"/>
      <c r="E27" s="149"/>
      <c r="F27" s="152"/>
      <c r="G27" s="153"/>
      <c r="I27" s="2"/>
      <c r="J27" s="160"/>
      <c r="K27" s="149"/>
    </row>
    <row r="28" spans="2:13" s="7" customFormat="1" ht="32" customHeight="1">
      <c r="B28" s="118" t="s">
        <v>22</v>
      </c>
      <c r="C28" s="119" t="s">
        <v>14</v>
      </c>
      <c r="D28" s="248">
        <f>D20</f>
        <v>2989.9999999999995</v>
      </c>
      <c r="E28" s="237">
        <f t="shared" ref="D28:E28" si="5">K28*(1+$K$10)</f>
        <v>3852</v>
      </c>
      <c r="F28" s="244" t="s">
        <v>138</v>
      </c>
      <c r="G28" s="245"/>
      <c r="I28" s="2"/>
      <c r="J28" s="248">
        <f>J20</f>
        <v>2989.9999999999995</v>
      </c>
      <c r="K28" s="237">
        <f>K20</f>
        <v>3600</v>
      </c>
    </row>
    <row r="29" spans="2:13" s="7" customFormat="1" ht="33" thickBot="1">
      <c r="B29" s="120" t="s">
        <v>14</v>
      </c>
      <c r="C29" s="121" t="s">
        <v>22</v>
      </c>
      <c r="D29" s="249"/>
      <c r="E29" s="238"/>
      <c r="F29" s="246"/>
      <c r="G29" s="247"/>
      <c r="I29" s="2"/>
      <c r="J29" s="249"/>
      <c r="K29" s="238"/>
    </row>
    <row r="30" spans="2:13" s="7" customFormat="1" ht="32" customHeight="1">
      <c r="B30" s="9" t="s">
        <v>23</v>
      </c>
      <c r="C30" s="10" t="s">
        <v>14</v>
      </c>
      <c r="D30" s="159">
        <f>D26*(1-20%)</f>
        <v>5520</v>
      </c>
      <c r="E30" s="148">
        <f t="shared" ref="D30:E30" si="6">K30*(1+$K$10)</f>
        <v>6821.25</v>
      </c>
      <c r="F30" s="150" t="s">
        <v>138</v>
      </c>
      <c r="G30" s="151"/>
      <c r="I30" s="2"/>
      <c r="J30" s="159">
        <f>J26*(1-20%)</f>
        <v>5520</v>
      </c>
      <c r="K30" s="148">
        <f>K26*(1-25%)</f>
        <v>6375</v>
      </c>
      <c r="M30" s="11"/>
    </row>
    <row r="31" spans="2:13" s="7" customFormat="1" ht="33" thickBot="1">
      <c r="B31" s="12" t="s">
        <v>14</v>
      </c>
      <c r="C31" s="13" t="s">
        <v>23</v>
      </c>
      <c r="D31" s="160"/>
      <c r="E31" s="149"/>
      <c r="F31" s="152"/>
      <c r="G31" s="153"/>
      <c r="I31" s="2"/>
      <c r="J31" s="160"/>
      <c r="K31" s="149"/>
    </row>
    <row r="32" spans="2:13" s="7" customFormat="1" ht="32" customHeight="1">
      <c r="B32" s="118" t="s">
        <v>24</v>
      </c>
      <c r="C32" s="119" t="s">
        <v>14</v>
      </c>
      <c r="D32" s="248">
        <f>D24</f>
        <v>6900</v>
      </c>
      <c r="E32" s="237">
        <f t="shared" ref="D32:E32" si="7">K32*(1+$K$10)</f>
        <v>9630</v>
      </c>
      <c r="F32" s="244" t="s">
        <v>138</v>
      </c>
      <c r="G32" s="245"/>
      <c r="I32" s="2"/>
      <c r="J32" s="248">
        <f>J24</f>
        <v>6900</v>
      </c>
      <c r="K32" s="237">
        <v>9000</v>
      </c>
    </row>
    <row r="33" spans="2:11" s="7" customFormat="1" ht="33" thickBot="1">
      <c r="B33" s="120" t="s">
        <v>14</v>
      </c>
      <c r="C33" s="121" t="s">
        <v>24</v>
      </c>
      <c r="D33" s="249"/>
      <c r="E33" s="238"/>
      <c r="F33" s="246"/>
      <c r="G33" s="247"/>
      <c r="I33" s="2"/>
      <c r="J33" s="249"/>
      <c r="K33" s="238"/>
    </row>
    <row r="34" spans="2:11" ht="138" customHeight="1" thickBot="1">
      <c r="B34"/>
      <c r="C34"/>
      <c r="D34"/>
      <c r="E34"/>
      <c r="F34"/>
      <c r="G34"/>
    </row>
    <row r="35" spans="2:11" ht="24" customHeight="1" thickBot="1">
      <c r="B35" s="156" t="s">
        <v>25</v>
      </c>
      <c r="C35" s="157"/>
      <c r="D35" s="157"/>
      <c r="E35" s="157"/>
      <c r="F35" s="157"/>
      <c r="G35" s="158"/>
    </row>
    <row r="36" spans="2:11" s="7" customFormat="1" ht="30" customHeight="1" thickBot="1">
      <c r="B36" s="240" t="s">
        <v>9</v>
      </c>
      <c r="C36" s="241"/>
      <c r="D36" s="117" t="s">
        <v>10</v>
      </c>
      <c r="E36" s="117" t="s">
        <v>59</v>
      </c>
      <c r="F36" s="242" t="s">
        <v>12</v>
      </c>
      <c r="G36" s="243"/>
      <c r="I36" s="2"/>
      <c r="J36" s="117" t="s">
        <v>10</v>
      </c>
      <c r="K36" s="117" t="s">
        <v>59</v>
      </c>
    </row>
    <row r="37" spans="2:11" s="7" customFormat="1" ht="24" customHeight="1">
      <c r="B37" s="118" t="s">
        <v>26</v>
      </c>
      <c r="C37" s="119" t="s">
        <v>14</v>
      </c>
      <c r="D37" s="248">
        <f>D16</f>
        <v>6900</v>
      </c>
      <c r="E37" s="248">
        <f t="shared" ref="E37:E65" si="8">K37*(1+$K$10)</f>
        <v>8560</v>
      </c>
      <c r="F37" s="244" t="s">
        <v>27</v>
      </c>
      <c r="G37" s="245"/>
      <c r="I37" s="2"/>
      <c r="J37" s="248">
        <f>J16</f>
        <v>6900</v>
      </c>
      <c r="K37" s="248">
        <f>K16</f>
        <v>8000</v>
      </c>
    </row>
    <row r="38" spans="2:11" s="7" customFormat="1" ht="24" customHeight="1" thickBot="1">
      <c r="B38" s="120" t="s">
        <v>14</v>
      </c>
      <c r="C38" s="121" t="s">
        <v>26</v>
      </c>
      <c r="D38" s="249"/>
      <c r="E38" s="249"/>
      <c r="F38" s="246"/>
      <c r="G38" s="247"/>
      <c r="I38" s="2"/>
      <c r="J38" s="249"/>
      <c r="K38" s="249"/>
    </row>
    <row r="39" spans="2:11" s="7" customFormat="1" ht="24" customHeight="1">
      <c r="B39" s="9" t="s">
        <v>28</v>
      </c>
      <c r="C39" s="10" t="s">
        <v>14</v>
      </c>
      <c r="D39" s="148">
        <f>D20*(1+30%)</f>
        <v>3886.9999999999995</v>
      </c>
      <c r="E39" s="148">
        <f t="shared" si="8"/>
        <v>4922</v>
      </c>
      <c r="F39" s="150" t="s">
        <v>29</v>
      </c>
      <c r="G39" s="151"/>
      <c r="I39" s="2"/>
      <c r="J39" s="148">
        <f>J20*(1+30%)</f>
        <v>3886.9999999999995</v>
      </c>
      <c r="K39" s="148">
        <f>K20+1000</f>
        <v>4600</v>
      </c>
    </row>
    <row r="40" spans="2:11" s="7" customFormat="1" ht="24" customHeight="1" thickBot="1">
      <c r="B40" s="12" t="s">
        <v>14</v>
      </c>
      <c r="C40" s="13" t="s">
        <v>28</v>
      </c>
      <c r="D40" s="149"/>
      <c r="E40" s="149"/>
      <c r="F40" s="152"/>
      <c r="G40" s="153"/>
      <c r="I40" s="2"/>
      <c r="J40" s="149"/>
      <c r="K40" s="149"/>
    </row>
    <row r="41" spans="2:11" s="7" customFormat="1" ht="32" customHeight="1">
      <c r="B41" s="118" t="s">
        <v>30</v>
      </c>
      <c r="C41" s="119" t="s">
        <v>14</v>
      </c>
      <c r="D41" s="248">
        <f>D24</f>
        <v>6900</v>
      </c>
      <c r="E41" s="248">
        <f t="shared" si="8"/>
        <v>8560</v>
      </c>
      <c r="F41" s="244" t="s">
        <v>31</v>
      </c>
      <c r="G41" s="245"/>
      <c r="I41" s="2"/>
      <c r="J41" s="248">
        <f>J24</f>
        <v>6900</v>
      </c>
      <c r="K41" s="248">
        <f>K24</f>
        <v>8000</v>
      </c>
    </row>
    <row r="42" spans="2:11" s="7" customFormat="1" ht="33" thickBot="1">
      <c r="B42" s="120" t="s">
        <v>14</v>
      </c>
      <c r="C42" s="121" t="s">
        <v>30</v>
      </c>
      <c r="D42" s="249"/>
      <c r="E42" s="249"/>
      <c r="F42" s="246"/>
      <c r="G42" s="247"/>
      <c r="I42" s="2"/>
      <c r="J42" s="249"/>
      <c r="K42" s="249"/>
    </row>
    <row r="43" spans="2:11" s="7" customFormat="1" ht="32" customHeight="1">
      <c r="B43" s="9" t="s">
        <v>32</v>
      </c>
      <c r="C43" s="10" t="s">
        <v>14</v>
      </c>
      <c r="D43" s="148">
        <f>D41*(1+15%)</f>
        <v>7934.9999999999991</v>
      </c>
      <c r="E43" s="148">
        <f t="shared" si="8"/>
        <v>10165</v>
      </c>
      <c r="F43" s="150" t="s">
        <v>33</v>
      </c>
      <c r="G43" s="151"/>
      <c r="I43" s="2"/>
      <c r="J43" s="148">
        <f>J41*(1+15%)</f>
        <v>7934.9999999999991</v>
      </c>
      <c r="K43" s="148">
        <v>9500</v>
      </c>
    </row>
    <row r="44" spans="2:11" s="7" customFormat="1" ht="33" thickBot="1">
      <c r="B44" s="12" t="s">
        <v>14</v>
      </c>
      <c r="C44" s="13" t="s">
        <v>32</v>
      </c>
      <c r="D44" s="149"/>
      <c r="E44" s="149"/>
      <c r="F44" s="152"/>
      <c r="G44" s="153"/>
      <c r="I44" s="2"/>
      <c r="J44" s="149"/>
      <c r="K44" s="149"/>
    </row>
    <row r="45" spans="2:11" s="7" customFormat="1" ht="24" customHeight="1">
      <c r="B45" s="118" t="s">
        <v>34</v>
      </c>
      <c r="C45" s="119" t="s">
        <v>14</v>
      </c>
      <c r="D45" s="248">
        <f>D22</f>
        <v>10350</v>
      </c>
      <c r="E45" s="248">
        <f t="shared" si="8"/>
        <v>14177.5</v>
      </c>
      <c r="F45" s="244" t="s">
        <v>35</v>
      </c>
      <c r="G45" s="245"/>
      <c r="H45" s="11"/>
      <c r="I45" s="2"/>
      <c r="J45" s="248">
        <f>J22</f>
        <v>10350</v>
      </c>
      <c r="K45" s="248">
        <v>13250</v>
      </c>
    </row>
    <row r="46" spans="2:11" s="7" customFormat="1" ht="24" customHeight="1" thickBot="1">
      <c r="B46" s="120" t="s">
        <v>14</v>
      </c>
      <c r="C46" s="121" t="s">
        <v>34</v>
      </c>
      <c r="D46" s="249"/>
      <c r="E46" s="249"/>
      <c r="F46" s="246"/>
      <c r="G46" s="247"/>
      <c r="I46" s="2"/>
      <c r="J46" s="249"/>
      <c r="K46" s="249"/>
    </row>
    <row r="47" spans="2:11" s="7" customFormat="1" ht="24" customHeight="1">
      <c r="B47" s="9" t="s">
        <v>36</v>
      </c>
      <c r="C47" s="10" t="s">
        <v>14</v>
      </c>
      <c r="D47" s="148">
        <f>D20*(1-20%)</f>
        <v>2391.9999999999995</v>
      </c>
      <c r="E47" s="148">
        <f t="shared" si="8"/>
        <v>3466.8</v>
      </c>
      <c r="F47" s="150" t="s">
        <v>37</v>
      </c>
      <c r="G47" s="151"/>
      <c r="I47" s="2"/>
      <c r="J47" s="148">
        <f>J20*(1-20%)</f>
        <v>2391.9999999999995</v>
      </c>
      <c r="K47" s="148">
        <f>K20*(1-10%)</f>
        <v>3240</v>
      </c>
    </row>
    <row r="48" spans="2:11" s="7" customFormat="1" ht="24" customHeight="1" thickBot="1">
      <c r="B48" s="12" t="s">
        <v>14</v>
      </c>
      <c r="C48" s="13" t="s">
        <v>36</v>
      </c>
      <c r="D48" s="149"/>
      <c r="E48" s="149"/>
      <c r="F48" s="152"/>
      <c r="G48" s="153"/>
      <c r="I48" s="2"/>
      <c r="J48" s="149"/>
      <c r="K48" s="149"/>
    </row>
    <row r="49" spans="2:11" s="7" customFormat="1" ht="24" customHeight="1">
      <c r="B49" s="118" t="s">
        <v>38</v>
      </c>
      <c r="C49" s="119" t="s">
        <v>14</v>
      </c>
      <c r="D49" s="248">
        <f>D41</f>
        <v>6900</v>
      </c>
      <c r="E49" s="248">
        <f t="shared" si="8"/>
        <v>8560</v>
      </c>
      <c r="F49" s="244" t="s">
        <v>39</v>
      </c>
      <c r="G49" s="245"/>
      <c r="I49" s="2"/>
      <c r="J49" s="248">
        <f>J41</f>
        <v>6900</v>
      </c>
      <c r="K49" s="248">
        <f>K41</f>
        <v>8000</v>
      </c>
    </row>
    <row r="50" spans="2:11" s="7" customFormat="1" ht="24" customHeight="1" thickBot="1">
      <c r="B50" s="120" t="s">
        <v>14</v>
      </c>
      <c r="C50" s="121" t="s">
        <v>38</v>
      </c>
      <c r="D50" s="249"/>
      <c r="E50" s="249"/>
      <c r="F50" s="246"/>
      <c r="G50" s="247"/>
      <c r="I50" s="2"/>
      <c r="J50" s="249"/>
      <c r="K50" s="249"/>
    </row>
    <row r="51" spans="2:11" s="7" customFormat="1" ht="24" customHeight="1">
      <c r="B51" s="9" t="s">
        <v>40</v>
      </c>
      <c r="C51" s="10" t="s">
        <v>14</v>
      </c>
      <c r="D51" s="148">
        <f>D22</f>
        <v>10350</v>
      </c>
      <c r="E51" s="148">
        <f t="shared" si="8"/>
        <v>12840</v>
      </c>
      <c r="F51" s="150" t="s">
        <v>41</v>
      </c>
      <c r="G51" s="151"/>
      <c r="I51" s="2"/>
      <c r="J51" s="148">
        <f>J22</f>
        <v>10350</v>
      </c>
      <c r="K51" s="148">
        <f>K22</f>
        <v>12000</v>
      </c>
    </row>
    <row r="52" spans="2:11" s="7" customFormat="1" ht="24" customHeight="1" thickBot="1">
      <c r="B52" s="12" t="s">
        <v>14</v>
      </c>
      <c r="C52" s="13" t="s">
        <v>40</v>
      </c>
      <c r="D52" s="149"/>
      <c r="E52" s="149"/>
      <c r="F52" s="152"/>
      <c r="G52" s="153"/>
      <c r="I52" s="2"/>
      <c r="J52" s="149"/>
      <c r="K52" s="149"/>
    </row>
    <row r="53" spans="2:11" s="7" customFormat="1" ht="24" customHeight="1">
      <c r="B53" s="118" t="s">
        <v>42</v>
      </c>
      <c r="C53" s="119" t="s">
        <v>14</v>
      </c>
      <c r="D53" s="248">
        <f>D20</f>
        <v>2989.9999999999995</v>
      </c>
      <c r="E53" s="248">
        <f t="shared" si="8"/>
        <v>3852</v>
      </c>
      <c r="F53" s="244" t="s">
        <v>43</v>
      </c>
      <c r="G53" s="245"/>
      <c r="I53" s="2"/>
      <c r="J53" s="248">
        <f>J20</f>
        <v>2989.9999999999995</v>
      </c>
      <c r="K53" s="248">
        <f>K20</f>
        <v>3600</v>
      </c>
    </row>
    <row r="54" spans="2:11" s="7" customFormat="1" ht="24" customHeight="1" thickBot="1">
      <c r="B54" s="120" t="s">
        <v>14</v>
      </c>
      <c r="C54" s="121" t="s">
        <v>42</v>
      </c>
      <c r="D54" s="249"/>
      <c r="E54" s="249"/>
      <c r="F54" s="246"/>
      <c r="G54" s="247"/>
      <c r="I54" s="2"/>
      <c r="J54" s="249"/>
      <c r="K54" s="249"/>
    </row>
    <row r="55" spans="2:11" s="7" customFormat="1" ht="24" customHeight="1">
      <c r="B55" s="9" t="s">
        <v>44</v>
      </c>
      <c r="C55" s="10" t="s">
        <v>14</v>
      </c>
      <c r="D55" s="148">
        <f>D41</f>
        <v>6900</v>
      </c>
      <c r="E55" s="148">
        <f t="shared" si="8"/>
        <v>8560</v>
      </c>
      <c r="F55" s="150" t="s">
        <v>45</v>
      </c>
      <c r="G55" s="151"/>
      <c r="I55" s="2"/>
      <c r="J55" s="148">
        <f>J41</f>
        <v>6900</v>
      </c>
      <c r="K55" s="148">
        <f>K41</f>
        <v>8000</v>
      </c>
    </row>
    <row r="56" spans="2:11" s="7" customFormat="1" ht="24" customHeight="1" thickBot="1">
      <c r="B56" s="12" t="s">
        <v>14</v>
      </c>
      <c r="C56" s="13" t="s">
        <v>44</v>
      </c>
      <c r="D56" s="149"/>
      <c r="E56" s="149"/>
      <c r="F56" s="152"/>
      <c r="G56" s="153"/>
      <c r="I56" s="2"/>
      <c r="J56" s="149"/>
      <c r="K56" s="149"/>
    </row>
    <row r="57" spans="2:11" s="7" customFormat="1" ht="24" customHeight="1">
      <c r="B57" s="118" t="s">
        <v>46</v>
      </c>
      <c r="C57" s="119" t="s">
        <v>14</v>
      </c>
      <c r="D57" s="248">
        <f>D51*(1+15%)</f>
        <v>11902.499999999998</v>
      </c>
      <c r="E57" s="248">
        <f t="shared" si="8"/>
        <v>14124.000000000004</v>
      </c>
      <c r="F57" s="244" t="s">
        <v>47</v>
      </c>
      <c r="G57" s="245"/>
      <c r="I57" s="2"/>
      <c r="J57" s="248">
        <f>J51*(1+15%)</f>
        <v>11902.499999999998</v>
      </c>
      <c r="K57" s="248">
        <f>K51*(1+10%)</f>
        <v>13200.000000000002</v>
      </c>
    </row>
    <row r="58" spans="2:11" s="7" customFormat="1" ht="24" customHeight="1" thickBot="1">
      <c r="B58" s="120" t="s">
        <v>14</v>
      </c>
      <c r="C58" s="121" t="s">
        <v>46</v>
      </c>
      <c r="D58" s="249"/>
      <c r="E58" s="249"/>
      <c r="F58" s="246"/>
      <c r="G58" s="247"/>
      <c r="I58" s="2"/>
      <c r="J58" s="249"/>
      <c r="K58" s="249"/>
    </row>
    <row r="59" spans="2:11" s="7" customFormat="1" ht="24" customHeight="1">
      <c r="B59" s="9" t="s">
        <v>48</v>
      </c>
      <c r="C59" s="10" t="s">
        <v>14</v>
      </c>
      <c r="D59" s="148">
        <f>D28</f>
        <v>2989.9999999999995</v>
      </c>
      <c r="E59" s="148">
        <f t="shared" si="8"/>
        <v>3852</v>
      </c>
      <c r="F59" s="150" t="s">
        <v>49</v>
      </c>
      <c r="G59" s="151"/>
      <c r="I59" s="2"/>
      <c r="J59" s="148">
        <f>J28</f>
        <v>2989.9999999999995</v>
      </c>
      <c r="K59" s="148">
        <f>K28</f>
        <v>3600</v>
      </c>
    </row>
    <row r="60" spans="2:11" s="7" customFormat="1" ht="24" customHeight="1" thickBot="1">
      <c r="B60" s="12" t="s">
        <v>14</v>
      </c>
      <c r="C60" s="13" t="s">
        <v>48</v>
      </c>
      <c r="D60" s="149"/>
      <c r="E60" s="149"/>
      <c r="F60" s="152"/>
      <c r="G60" s="153"/>
      <c r="I60" s="2"/>
      <c r="J60" s="149"/>
      <c r="K60" s="149"/>
    </row>
    <row r="61" spans="2:11" s="7" customFormat="1" ht="24" customHeight="1">
      <c r="B61" s="118" t="s">
        <v>50</v>
      </c>
      <c r="C61" s="119" t="s">
        <v>14</v>
      </c>
      <c r="D61" s="248">
        <f>D59*(1+25%)</f>
        <v>3737.4999999999995</v>
      </c>
      <c r="E61" s="248">
        <f t="shared" si="8"/>
        <v>4815</v>
      </c>
      <c r="F61" s="244" t="s">
        <v>51</v>
      </c>
      <c r="G61" s="245"/>
      <c r="I61" s="2"/>
      <c r="J61" s="248">
        <f>J59*(1+25%)</f>
        <v>3737.4999999999995</v>
      </c>
      <c r="K61" s="248">
        <f>K59*(1+25%)</f>
        <v>4500</v>
      </c>
    </row>
    <row r="62" spans="2:11" s="7" customFormat="1" ht="24" customHeight="1" thickBot="1">
      <c r="B62" s="120" t="s">
        <v>14</v>
      </c>
      <c r="C62" s="121" t="s">
        <v>50</v>
      </c>
      <c r="D62" s="249"/>
      <c r="E62" s="249"/>
      <c r="F62" s="246"/>
      <c r="G62" s="247"/>
      <c r="I62" s="2"/>
      <c r="J62" s="249"/>
      <c r="K62" s="249"/>
    </row>
    <row r="63" spans="2:11" s="7" customFormat="1" ht="24" customHeight="1">
      <c r="B63" s="9" t="s">
        <v>52</v>
      </c>
      <c r="C63" s="10" t="s">
        <v>14</v>
      </c>
      <c r="D63" s="148">
        <f>D30</f>
        <v>5520</v>
      </c>
      <c r="E63" s="148">
        <f t="shared" si="8"/>
        <v>6821.25</v>
      </c>
      <c r="F63" s="150" t="s">
        <v>53</v>
      </c>
      <c r="G63" s="151"/>
      <c r="I63" s="2"/>
      <c r="J63" s="148">
        <f>J30</f>
        <v>5520</v>
      </c>
      <c r="K63" s="148">
        <f>K30</f>
        <v>6375</v>
      </c>
    </row>
    <row r="64" spans="2:11" s="7" customFormat="1" ht="24" customHeight="1" thickBot="1">
      <c r="B64" s="12" t="s">
        <v>14</v>
      </c>
      <c r="C64" s="13" t="s">
        <v>52</v>
      </c>
      <c r="D64" s="149"/>
      <c r="E64" s="149"/>
      <c r="F64" s="152"/>
      <c r="G64" s="153"/>
      <c r="I64" s="2"/>
      <c r="J64" s="149"/>
      <c r="K64" s="149"/>
    </row>
    <row r="65" spans="2:11" s="7" customFormat="1" ht="24" customHeight="1">
      <c r="B65" s="118" t="s">
        <v>54</v>
      </c>
      <c r="C65" s="119" t="s">
        <v>14</v>
      </c>
      <c r="D65" s="248">
        <f>D45</f>
        <v>10350</v>
      </c>
      <c r="E65" s="248">
        <f t="shared" si="8"/>
        <v>14177.5</v>
      </c>
      <c r="F65" s="244" t="s">
        <v>55</v>
      </c>
      <c r="G65" s="245"/>
      <c r="I65" s="2"/>
      <c r="J65" s="248">
        <f>J45</f>
        <v>10350</v>
      </c>
      <c r="K65" s="248">
        <f>K45</f>
        <v>13250</v>
      </c>
    </row>
    <row r="66" spans="2:11" s="7" customFormat="1" ht="24" customHeight="1" thickBot="1">
      <c r="B66" s="120" t="s">
        <v>14</v>
      </c>
      <c r="C66" s="121" t="s">
        <v>54</v>
      </c>
      <c r="D66" s="249"/>
      <c r="E66" s="249"/>
      <c r="F66" s="246"/>
      <c r="G66" s="247"/>
      <c r="I66" s="2"/>
      <c r="J66" s="249"/>
      <c r="K66" s="249"/>
    </row>
    <row r="67" spans="2:11" s="2" customFormat="1" ht="17" thickBot="1">
      <c r="B67" s="4"/>
      <c r="C67" s="4"/>
      <c r="D67" s="4"/>
      <c r="E67" s="4"/>
      <c r="F67" s="4"/>
      <c r="G67" s="4"/>
    </row>
    <row r="68" spans="2:11" s="7" customFormat="1" ht="17">
      <c r="B68" s="250" t="s">
        <v>56</v>
      </c>
      <c r="C68" s="251"/>
      <c r="D68" s="251"/>
      <c r="E68" s="251"/>
      <c r="F68" s="251"/>
      <c r="G68" s="252"/>
      <c r="I68" s="2"/>
    </row>
    <row r="69" spans="2:11" s="2" customFormat="1" ht="56" customHeight="1">
      <c r="B69" s="161" t="s">
        <v>115</v>
      </c>
      <c r="C69" s="162"/>
      <c r="D69" s="162"/>
      <c r="E69" s="162"/>
      <c r="F69" s="162"/>
      <c r="G69" s="163"/>
    </row>
    <row r="70" spans="2:11" s="2" customFormat="1" ht="55" customHeight="1" thickBot="1">
      <c r="B70" s="164" t="s">
        <v>143</v>
      </c>
      <c r="C70" s="165"/>
      <c r="D70" s="165"/>
      <c r="E70" s="165"/>
      <c r="F70" s="165"/>
      <c r="G70" s="166"/>
    </row>
    <row r="71" spans="2:11" s="2" customFormat="1" ht="16">
      <c r="B71" s="4"/>
      <c r="C71" s="4"/>
      <c r="D71" s="4"/>
      <c r="E71" s="4"/>
      <c r="F71" s="4"/>
      <c r="G71" s="4"/>
    </row>
    <row r="72" spans="2:11" s="2" customFormat="1" ht="16">
      <c r="B72" s="4"/>
      <c r="C72" s="4"/>
      <c r="D72" s="4"/>
      <c r="E72" s="4"/>
      <c r="F72" s="4"/>
      <c r="G72" s="4"/>
    </row>
  </sheetData>
  <mergeCells count="131">
    <mergeCell ref="D61:D62"/>
    <mergeCell ref="D63:D64"/>
    <mergeCell ref="D65:D66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7:J38"/>
    <mergeCell ref="J39:J40"/>
    <mergeCell ref="J41:J42"/>
    <mergeCell ref="J43:J44"/>
    <mergeCell ref="D51:D52"/>
    <mergeCell ref="D53:D54"/>
    <mergeCell ref="D55:D56"/>
    <mergeCell ref="D57:D58"/>
    <mergeCell ref="D59:D60"/>
    <mergeCell ref="D41:D42"/>
    <mergeCell ref="D43:D44"/>
    <mergeCell ref="D45:D46"/>
    <mergeCell ref="D47:D48"/>
    <mergeCell ref="D49:D50"/>
    <mergeCell ref="D20:D21"/>
    <mergeCell ref="D22:D23"/>
    <mergeCell ref="D24:D25"/>
    <mergeCell ref="D26:D27"/>
    <mergeCell ref="D28:D29"/>
    <mergeCell ref="B69:G69"/>
    <mergeCell ref="B70:G70"/>
    <mergeCell ref="E65:E66"/>
    <mergeCell ref="F65:G66"/>
    <mergeCell ref="K65:K66"/>
    <mergeCell ref="B68:G68"/>
    <mergeCell ref="J65:J66"/>
    <mergeCell ref="E61:E62"/>
    <mergeCell ref="F61:G62"/>
    <mergeCell ref="K61:K62"/>
    <mergeCell ref="E63:E64"/>
    <mergeCell ref="F63:G64"/>
    <mergeCell ref="K63:K64"/>
    <mergeCell ref="J61:J62"/>
    <mergeCell ref="J63:J64"/>
    <mergeCell ref="E57:E58"/>
    <mergeCell ref="F57:G58"/>
    <mergeCell ref="K57:K58"/>
    <mergeCell ref="E59:E60"/>
    <mergeCell ref="F59:G60"/>
    <mergeCell ref="K59:K60"/>
    <mergeCell ref="J57:J58"/>
    <mergeCell ref="J59:J60"/>
    <mergeCell ref="E53:E54"/>
    <mergeCell ref="F53:G54"/>
    <mergeCell ref="K53:K54"/>
    <mergeCell ref="E55:E56"/>
    <mergeCell ref="F55:G56"/>
    <mergeCell ref="K55:K56"/>
    <mergeCell ref="J53:J54"/>
    <mergeCell ref="J55:J56"/>
    <mergeCell ref="E49:E50"/>
    <mergeCell ref="F49:G50"/>
    <mergeCell ref="K49:K50"/>
    <mergeCell ref="E51:E52"/>
    <mergeCell ref="F51:G52"/>
    <mergeCell ref="K51:K52"/>
    <mergeCell ref="J49:J50"/>
    <mergeCell ref="J51:J52"/>
    <mergeCell ref="E45:E46"/>
    <mergeCell ref="F45:G46"/>
    <mergeCell ref="K45:K46"/>
    <mergeCell ref="E47:E48"/>
    <mergeCell ref="F47:G48"/>
    <mergeCell ref="K47:K48"/>
    <mergeCell ref="J45:J46"/>
    <mergeCell ref="J47:J48"/>
    <mergeCell ref="E41:E42"/>
    <mergeCell ref="F41:G42"/>
    <mergeCell ref="K41:K42"/>
    <mergeCell ref="E43:E44"/>
    <mergeCell ref="F43:G44"/>
    <mergeCell ref="K43:K44"/>
    <mergeCell ref="E39:E40"/>
    <mergeCell ref="F39:G40"/>
    <mergeCell ref="K39:K40"/>
    <mergeCell ref="B36:C36"/>
    <mergeCell ref="F36:G36"/>
    <mergeCell ref="E37:E38"/>
    <mergeCell ref="F37:G38"/>
    <mergeCell ref="K37:K38"/>
    <mergeCell ref="D37:D38"/>
    <mergeCell ref="D39:D40"/>
    <mergeCell ref="E32:E33"/>
    <mergeCell ref="F32:G33"/>
    <mergeCell ref="K32:K33"/>
    <mergeCell ref="B35:G35"/>
    <mergeCell ref="E28:E29"/>
    <mergeCell ref="F28:G29"/>
    <mergeCell ref="K28:K29"/>
    <mergeCell ref="E30:E31"/>
    <mergeCell ref="F30:G31"/>
    <mergeCell ref="K30:K31"/>
    <mergeCell ref="D30:D31"/>
    <mergeCell ref="D32:D33"/>
    <mergeCell ref="E24:E25"/>
    <mergeCell ref="F24:G25"/>
    <mergeCell ref="K24:K25"/>
    <mergeCell ref="E26:E27"/>
    <mergeCell ref="F26:G27"/>
    <mergeCell ref="K26:K27"/>
    <mergeCell ref="E20:E21"/>
    <mergeCell ref="F20:G21"/>
    <mergeCell ref="K20:K21"/>
    <mergeCell ref="E22:E23"/>
    <mergeCell ref="F22:G23"/>
    <mergeCell ref="K22:K23"/>
    <mergeCell ref="K16:K17"/>
    <mergeCell ref="E18:E19"/>
    <mergeCell ref="F18:G19"/>
    <mergeCell ref="K18:K19"/>
    <mergeCell ref="B10:G10"/>
    <mergeCell ref="B12:G12"/>
    <mergeCell ref="B14:G14"/>
    <mergeCell ref="B15:C15"/>
    <mergeCell ref="F15:G15"/>
    <mergeCell ref="E16:E17"/>
    <mergeCell ref="F16:G17"/>
    <mergeCell ref="D16:D17"/>
    <mergeCell ref="D18:D19"/>
  </mergeCells>
  <printOptions horizontalCentered="1"/>
  <pageMargins left="0.25" right="0.25" top="0.75" bottom="0.75" header="0.3" footer="0.3"/>
  <pageSetup scale="75" fitToHeight="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375F-6DD5-D442-9FF2-8ED17C42235E}">
  <sheetPr codeName="Sheet10">
    <pageSetUpPr fitToPage="1"/>
  </sheetPr>
  <dimension ref="B1:G55"/>
  <sheetViews>
    <sheetView showGridLines="0" zoomScale="170" zoomScaleNormal="170" zoomScalePageLayoutView="80" workbookViewId="0"/>
  </sheetViews>
  <sheetFormatPr baseColWidth="10" defaultColWidth="10.83203125" defaultRowHeight="16"/>
  <cols>
    <col min="1" max="1" width="3.1640625" style="2" customWidth="1"/>
    <col min="2" max="2" width="28.1640625" style="4" customWidth="1"/>
    <col min="3" max="3" width="10.1640625" style="4" bestFit="1" customWidth="1"/>
    <col min="4" max="4" width="11" customWidth="1"/>
    <col min="5" max="5" width="10.83203125" style="2"/>
    <col min="7" max="7" width="11" style="2" bestFit="1" customWidth="1"/>
    <col min="8" max="16384" width="10.83203125" style="2"/>
  </cols>
  <sheetData>
    <row r="1" spans="2:7" s="5" customFormat="1" ht="18" thickBot="1">
      <c r="B1" s="4"/>
      <c r="C1" s="2"/>
      <c r="D1"/>
    </row>
    <row r="2" spans="2:7" ht="20" thickBot="1">
      <c r="B2" s="156" t="s">
        <v>57</v>
      </c>
      <c r="C2" s="157"/>
      <c r="D2" s="158"/>
      <c r="G2" s="96">
        <v>7.0000000000000007E-2</v>
      </c>
    </row>
    <row r="3" spans="2:7" s="5" customFormat="1" ht="18" thickBot="1">
      <c r="B3" s="117" t="s">
        <v>58</v>
      </c>
      <c r="C3" s="122" t="s">
        <v>10</v>
      </c>
      <c r="D3" s="122" t="s">
        <v>59</v>
      </c>
      <c r="F3" s="122" t="s">
        <v>10</v>
      </c>
      <c r="G3" s="122" t="s">
        <v>59</v>
      </c>
    </row>
    <row r="4" spans="2:7" s="7" customFormat="1" ht="17">
      <c r="B4" s="123" t="s">
        <v>61</v>
      </c>
      <c r="C4" s="124">
        <v>1386.6558000000002</v>
      </c>
      <c r="D4" s="124">
        <v>1694.7944000000002</v>
      </c>
      <c r="E4" s="21"/>
      <c r="F4" s="258">
        <v>1386.6558000000002</v>
      </c>
      <c r="G4" s="124">
        <v>1694.7944000000002</v>
      </c>
    </row>
    <row r="5" spans="2:7" s="7" customFormat="1" ht="17">
      <c r="B5" s="22" t="s">
        <v>114</v>
      </c>
      <c r="C5" s="49">
        <v>1794.9464</v>
      </c>
      <c r="D5" s="49">
        <v>2217.3610000000003</v>
      </c>
      <c r="E5" s="21"/>
      <c r="F5" s="259">
        <v>1794.9464</v>
      </c>
      <c r="G5" s="49">
        <v>2217.3610000000003</v>
      </c>
    </row>
    <row r="6" spans="2:7" s="7" customFormat="1" ht="17">
      <c r="B6" s="123" t="s">
        <v>62</v>
      </c>
      <c r="C6" s="125">
        <v>1694.0133000000001</v>
      </c>
      <c r="D6" s="125">
        <v>2002.9437000000003</v>
      </c>
      <c r="E6" s="21"/>
      <c r="F6" s="260">
        <v>1694.0133000000001</v>
      </c>
      <c r="G6" s="125">
        <v>2002.9437000000003</v>
      </c>
    </row>
    <row r="7" spans="2:7" s="7" customFormat="1" ht="17">
      <c r="B7" s="22" t="s">
        <v>63</v>
      </c>
      <c r="C7" s="49">
        <v>1078.5065000000002</v>
      </c>
      <c r="D7" s="49">
        <v>1386.6558000000002</v>
      </c>
      <c r="E7" s="21"/>
      <c r="F7" s="259">
        <v>1078.5065000000002</v>
      </c>
      <c r="G7" s="49">
        <v>1386.6558000000002</v>
      </c>
    </row>
    <row r="8" spans="2:7" s="7" customFormat="1" ht="17">
      <c r="B8" s="123" t="s">
        <v>64</v>
      </c>
      <c r="C8" s="125">
        <v>1232.5809295800004</v>
      </c>
      <c r="D8" s="125">
        <v>1694.7987781725003</v>
      </c>
      <c r="E8" s="21"/>
      <c r="F8" s="260">
        <v>1232.5809295800004</v>
      </c>
      <c r="G8" s="125">
        <v>1694.7987781725003</v>
      </c>
    </row>
    <row r="9" spans="2:7" s="7" customFormat="1" ht="17">
      <c r="B9" s="22" t="s">
        <v>65</v>
      </c>
      <c r="C9" s="49">
        <v>1232.5809295800004</v>
      </c>
      <c r="D9" s="49">
        <v>1694.7987781725003</v>
      </c>
      <c r="E9" s="21"/>
      <c r="F9" s="259">
        <v>1232.5809295800004</v>
      </c>
      <c r="G9" s="49">
        <v>1694.7987781725003</v>
      </c>
    </row>
    <row r="10" spans="2:7" s="7" customFormat="1" ht="17">
      <c r="B10" s="123" t="s">
        <v>66</v>
      </c>
      <c r="C10" s="125">
        <v>1386.6535457774999</v>
      </c>
      <c r="D10" s="125">
        <v>1694.7987781725003</v>
      </c>
      <c r="E10" s="21"/>
      <c r="F10" s="260">
        <v>1386.6535457774999</v>
      </c>
      <c r="G10" s="125">
        <v>1694.7987781725003</v>
      </c>
    </row>
    <row r="11" spans="2:7" s="7" customFormat="1" ht="17">
      <c r="B11" s="22" t="s">
        <v>67</v>
      </c>
      <c r="C11" s="49">
        <v>1078.5083133825001</v>
      </c>
      <c r="D11" s="49">
        <v>1386.6535457774999</v>
      </c>
      <c r="E11" s="21"/>
      <c r="F11" s="259">
        <v>1078.5083133825001</v>
      </c>
      <c r="G11" s="49">
        <v>1386.6535457774999</v>
      </c>
    </row>
    <row r="12" spans="2:7" s="7" customFormat="1" ht="17">
      <c r="B12" s="123" t="s">
        <v>137</v>
      </c>
      <c r="C12" s="125">
        <v>1694.0133000000001</v>
      </c>
      <c r="D12" s="125">
        <v>2217.3617347756876</v>
      </c>
      <c r="E12" s="21"/>
      <c r="F12" s="260">
        <v>1694.0133000000001</v>
      </c>
      <c r="G12" s="125">
        <v>2217.3617347756876</v>
      </c>
    </row>
    <row r="13" spans="2:7" s="7" customFormat="1" ht="17">
      <c r="B13" s="22" t="s">
        <v>121</v>
      </c>
      <c r="C13" s="49">
        <v>2203.2384116242501</v>
      </c>
      <c r="D13" s="49">
        <v>2002.9437000000003</v>
      </c>
      <c r="E13" s="21"/>
      <c r="F13" s="259">
        <v>2203.2384116242501</v>
      </c>
      <c r="G13" s="49">
        <v>2002.9437000000003</v>
      </c>
    </row>
    <row r="14" spans="2:7" s="7" customFormat="1" ht="17">
      <c r="B14" s="123" t="s">
        <v>124</v>
      </c>
      <c r="C14" s="125">
        <v>1386.6535457774999</v>
      </c>
      <c r="D14" s="125">
        <v>2739.9246913788761</v>
      </c>
      <c r="E14" s="21"/>
      <c r="F14" s="260">
        <v>1386.6535457774999</v>
      </c>
      <c r="G14" s="125">
        <v>2739.9246913788761</v>
      </c>
    </row>
    <row r="15" spans="2:7" s="7" customFormat="1" ht="17">
      <c r="B15" s="22" t="s">
        <v>123</v>
      </c>
      <c r="C15" s="49">
        <v>1386.6535457774999</v>
      </c>
      <c r="D15" s="49">
        <v>1694.7987781725003</v>
      </c>
      <c r="E15" s="21"/>
      <c r="F15" s="259">
        <v>1386.6535457774999</v>
      </c>
      <c r="G15" s="49">
        <v>1694.7987781725003</v>
      </c>
    </row>
    <row r="16" spans="2:7" s="7" customFormat="1" ht="17">
      <c r="B16" s="123" t="s">
        <v>68</v>
      </c>
      <c r="C16" s="125">
        <v>1232.5809295800004</v>
      </c>
      <c r="D16" s="125">
        <v>1694.7987781725003</v>
      </c>
      <c r="E16" s="21"/>
      <c r="F16" s="260">
        <v>1232.5809295800004</v>
      </c>
      <c r="G16" s="125">
        <v>1694.7987781725003</v>
      </c>
    </row>
    <row r="17" spans="2:7" s="7" customFormat="1" ht="17">
      <c r="B17" s="22" t="s">
        <v>69</v>
      </c>
      <c r="C17" s="49">
        <v>1694.0086621920002</v>
      </c>
      <c r="D17" s="49">
        <v>1694.7987781725003</v>
      </c>
      <c r="E17" s="21"/>
      <c r="F17" s="259">
        <v>1694.0086621920002</v>
      </c>
      <c r="G17" s="49">
        <v>1694.7987781725003</v>
      </c>
    </row>
    <row r="18" spans="2:7" s="7" customFormat="1" ht="17">
      <c r="B18" s="123" t="s">
        <v>70</v>
      </c>
      <c r="C18" s="125">
        <v>2203.2384116242501</v>
      </c>
      <c r="D18" s="125">
        <v>2002.9440105675005</v>
      </c>
      <c r="E18" s="21"/>
      <c r="F18" s="260">
        <v>2203.2384116242501</v>
      </c>
      <c r="G18" s="125">
        <v>2002.9440105675005</v>
      </c>
    </row>
    <row r="19" spans="2:7" s="7" customFormat="1" ht="17">
      <c r="B19" s="22" t="s">
        <v>126</v>
      </c>
      <c r="C19" s="49">
        <v>1540.3311039847499</v>
      </c>
      <c r="D19" s="49">
        <v>2739.9246913788761</v>
      </c>
      <c r="E19" s="21"/>
      <c r="F19" s="259">
        <v>1540.3311039847499</v>
      </c>
      <c r="G19" s="49">
        <v>2739.9246913788761</v>
      </c>
    </row>
    <row r="20" spans="2:7" s="7" customFormat="1" ht="17">
      <c r="B20" s="123" t="s">
        <v>71</v>
      </c>
      <c r="C20" s="125">
        <v>1078.5083133825001</v>
      </c>
      <c r="D20" s="125">
        <v>1848.8713943700002</v>
      </c>
      <c r="E20" s="21"/>
      <c r="F20" s="260">
        <v>1078.5083133825001</v>
      </c>
      <c r="G20" s="125">
        <v>1848.8713943700002</v>
      </c>
    </row>
    <row r="21" spans="2:7" s="7" customFormat="1" ht="17">
      <c r="B21" s="22" t="s">
        <v>72</v>
      </c>
      <c r="C21" s="49">
        <v>1540.3311039847499</v>
      </c>
      <c r="D21" s="49">
        <v>1386.6535457774999</v>
      </c>
      <c r="E21" s="21"/>
      <c r="F21" s="259">
        <v>1540.3311039847499</v>
      </c>
      <c r="G21" s="49">
        <v>1386.6535457774999</v>
      </c>
    </row>
    <row r="22" spans="2:7" s="7" customFormat="1" ht="17">
      <c r="B22" s="123" t="s">
        <v>73</v>
      </c>
      <c r="C22" s="125">
        <v>1794.9459787008755</v>
      </c>
      <c r="D22" s="125">
        <v>1848.8713943700002</v>
      </c>
      <c r="E22" s="21"/>
      <c r="F22" s="260">
        <v>1794.9459787008755</v>
      </c>
      <c r="G22" s="125">
        <v>1848.8713943700002</v>
      </c>
    </row>
    <row r="23" spans="2:7" s="7" customFormat="1" ht="17">
      <c r="B23" s="22" t="s">
        <v>74</v>
      </c>
      <c r="C23" s="49">
        <v>1386.6535457774999</v>
      </c>
      <c r="D23" s="49">
        <v>1694.7987781725003</v>
      </c>
      <c r="E23" s="21"/>
      <c r="F23" s="259">
        <v>1386.6535457774999</v>
      </c>
      <c r="G23" s="49">
        <v>1694.7987781725003</v>
      </c>
    </row>
    <row r="24" spans="2:7" s="7" customFormat="1" ht="17">
      <c r="B24" s="123" t="s">
        <v>75</v>
      </c>
      <c r="C24" s="125">
        <v>1540.3311039847499</v>
      </c>
      <c r="D24" s="125">
        <v>1848.8713943700002</v>
      </c>
      <c r="E24" s="21"/>
      <c r="F24" s="260">
        <v>1540.3311039847499</v>
      </c>
      <c r="G24" s="125">
        <v>1848.8713943700002</v>
      </c>
    </row>
    <row r="25" spans="2:7" s="7" customFormat="1" ht="17">
      <c r="B25" s="22" t="s">
        <v>76</v>
      </c>
      <c r="C25" s="49">
        <v>2203.2384116242501</v>
      </c>
      <c r="D25" s="49">
        <v>2739.9246913788761</v>
      </c>
      <c r="E25" s="21"/>
      <c r="F25" s="259">
        <v>2203.2384116242501</v>
      </c>
      <c r="G25" s="49">
        <v>2739.9246913788761</v>
      </c>
    </row>
    <row r="26" spans="2:7" s="7" customFormat="1" ht="17">
      <c r="B26" s="123" t="s">
        <v>77</v>
      </c>
      <c r="C26" s="125">
        <v>1232.5809295800004</v>
      </c>
      <c r="D26" s="125">
        <v>1694.7987781725003</v>
      </c>
      <c r="E26" s="21"/>
      <c r="F26" s="260">
        <v>1232.5809295800004</v>
      </c>
      <c r="G26" s="125">
        <v>1694.7987781725003</v>
      </c>
    </row>
    <row r="27" spans="2:7" s="7" customFormat="1" ht="17">
      <c r="B27" s="22" t="s">
        <v>78</v>
      </c>
      <c r="C27" s="49">
        <v>1386.6535457774999</v>
      </c>
      <c r="D27" s="49">
        <v>1694.7987781725003</v>
      </c>
      <c r="E27" s="21"/>
      <c r="F27" s="259">
        <v>1386.6535457774999</v>
      </c>
      <c r="G27" s="49">
        <v>1694.7987781725003</v>
      </c>
    </row>
    <row r="28" spans="2:7" s="7" customFormat="1" ht="17">
      <c r="B28" s="123" t="s">
        <v>125</v>
      </c>
      <c r="C28" s="125">
        <v>2203.2384116242501</v>
      </c>
      <c r="D28" s="125">
        <v>2739.9246913788761</v>
      </c>
      <c r="E28" s="21"/>
      <c r="F28" s="260">
        <v>2203.2384116242501</v>
      </c>
      <c r="G28" s="125">
        <v>2739.9246913788761</v>
      </c>
    </row>
    <row r="29" spans="2:7" s="7" customFormat="1" ht="17">
      <c r="B29" s="22" t="s">
        <v>79</v>
      </c>
      <c r="C29" s="49">
        <v>1386.6535457774999</v>
      </c>
      <c r="D29" s="49">
        <v>1694.7987781725003</v>
      </c>
      <c r="E29" s="21"/>
      <c r="F29" s="259">
        <v>1386.6535457774999</v>
      </c>
      <c r="G29" s="49">
        <v>1694.7987781725003</v>
      </c>
    </row>
    <row r="30" spans="2:7" s="7" customFormat="1" ht="17">
      <c r="B30" s="123" t="s">
        <v>80</v>
      </c>
      <c r="C30" s="125">
        <v>1386.6535457774999</v>
      </c>
      <c r="D30" s="125">
        <v>1694.7987781725003</v>
      </c>
      <c r="E30" s="21"/>
      <c r="F30" s="260">
        <v>1386.6535457774999</v>
      </c>
      <c r="G30" s="125">
        <v>1694.7987781725003</v>
      </c>
    </row>
    <row r="31" spans="2:7" s="7" customFormat="1" ht="17">
      <c r="B31" s="22" t="s">
        <v>81</v>
      </c>
      <c r="C31" s="49">
        <v>1540.3311039847499</v>
      </c>
      <c r="D31" s="49">
        <v>1848.8713943700002</v>
      </c>
      <c r="E31" s="21"/>
      <c r="F31" s="259">
        <v>1540.3311039847499</v>
      </c>
      <c r="G31" s="49">
        <v>1848.8713943700002</v>
      </c>
    </row>
    <row r="32" spans="2:7" s="7" customFormat="1" ht="17">
      <c r="B32" s="123" t="s">
        <v>119</v>
      </c>
      <c r="C32" s="125">
        <v>1386.6535457774999</v>
      </c>
      <c r="D32" s="125">
        <v>1694.7987781725003</v>
      </c>
      <c r="E32" s="21"/>
      <c r="F32" s="260">
        <v>1386.6535457774999</v>
      </c>
      <c r="G32" s="125">
        <v>1694.7987781725003</v>
      </c>
    </row>
    <row r="33" spans="2:7" s="7" customFormat="1" ht="17">
      <c r="B33" s="22" t="s">
        <v>82</v>
      </c>
      <c r="C33" s="49">
        <v>1540.3311039847499</v>
      </c>
      <c r="D33" s="49">
        <v>1848.8713943700002</v>
      </c>
      <c r="E33" s="21"/>
      <c r="F33" s="259">
        <v>1540.3311039847499</v>
      </c>
      <c r="G33" s="49">
        <v>1848.8713943700002</v>
      </c>
    </row>
    <row r="34" spans="2:7" s="7" customFormat="1" ht="17">
      <c r="B34" s="123" t="s">
        <v>83</v>
      </c>
      <c r="C34" s="125">
        <v>1540.3311039847499</v>
      </c>
      <c r="D34" s="125">
        <v>1848.8713943700002</v>
      </c>
      <c r="E34" s="21"/>
      <c r="F34" s="260">
        <v>1540.3311039847499</v>
      </c>
      <c r="G34" s="125">
        <v>1848.8713943700002</v>
      </c>
    </row>
    <row r="35" spans="2:7" s="7" customFormat="1" ht="17">
      <c r="B35" s="22" t="s">
        <v>84</v>
      </c>
      <c r="C35" s="49">
        <v>1386.6535457774999</v>
      </c>
      <c r="D35" s="49">
        <v>1694.7987781725003</v>
      </c>
      <c r="E35" s="21"/>
      <c r="F35" s="259">
        <v>1386.6535457774999</v>
      </c>
      <c r="G35" s="49">
        <v>1694.7987781725003</v>
      </c>
    </row>
    <row r="36" spans="2:7" s="7" customFormat="1" ht="17">
      <c r="B36" s="123" t="s">
        <v>85</v>
      </c>
      <c r="C36" s="125">
        <v>2203.2384116242501</v>
      </c>
      <c r="D36" s="125">
        <v>2739.9246913788761</v>
      </c>
      <c r="E36" s="21"/>
      <c r="F36" s="260">
        <v>2203.2384116242501</v>
      </c>
      <c r="G36" s="125">
        <v>2739.9246913788761</v>
      </c>
    </row>
    <row r="37" spans="2:7" s="7" customFormat="1" ht="17">
      <c r="B37" s="22" t="s">
        <v>86</v>
      </c>
      <c r="C37" s="49">
        <v>1794.9459787008755</v>
      </c>
      <c r="D37" s="49">
        <v>2217.3617347756876</v>
      </c>
      <c r="E37" s="21"/>
      <c r="F37" s="259">
        <v>1794.9459787008755</v>
      </c>
      <c r="G37" s="49">
        <v>2217.3617347756876</v>
      </c>
    </row>
    <row r="38" spans="2:7" s="7" customFormat="1" ht="17">
      <c r="B38" s="123" t="s">
        <v>87</v>
      </c>
      <c r="C38" s="125">
        <v>2403.5328126810005</v>
      </c>
      <c r="D38" s="125">
        <v>2989.0087542315005</v>
      </c>
      <c r="E38" s="21"/>
      <c r="F38" s="260">
        <v>2403.5328126810005</v>
      </c>
      <c r="G38" s="125">
        <v>2989.0087542315005</v>
      </c>
    </row>
    <row r="39" spans="2:7" s="7" customFormat="1" ht="17">
      <c r="B39" s="22" t="s">
        <v>88</v>
      </c>
      <c r="C39" s="49">
        <v>1386.6535457774999</v>
      </c>
      <c r="D39" s="49">
        <v>1694.7987781725003</v>
      </c>
      <c r="E39" s="21"/>
      <c r="F39" s="259">
        <v>1386.6535457774999</v>
      </c>
      <c r="G39" s="49">
        <v>1694.7987781725003</v>
      </c>
    </row>
    <row r="40" spans="2:7" s="7" customFormat="1" ht="17">
      <c r="B40" s="123" t="s">
        <v>89</v>
      </c>
      <c r="C40" s="125">
        <v>2203.2384116242501</v>
      </c>
      <c r="D40" s="125">
        <v>2739.9246913788761</v>
      </c>
      <c r="E40" s="21"/>
      <c r="F40" s="260">
        <v>2203.2384116242501</v>
      </c>
      <c r="G40" s="125">
        <v>2739.9246913788761</v>
      </c>
    </row>
    <row r="41" spans="2:7" s="7" customFormat="1" ht="17">
      <c r="B41" s="22" t="s">
        <v>122</v>
      </c>
      <c r="C41" s="49">
        <v>2203.2384116242501</v>
      </c>
      <c r="D41" s="49">
        <v>2739.9246913788761</v>
      </c>
      <c r="E41" s="21"/>
      <c r="F41" s="259">
        <v>2203.2384116242501</v>
      </c>
      <c r="G41" s="49">
        <v>2739.9246913788761</v>
      </c>
    </row>
    <row r="42" spans="2:7" s="7" customFormat="1" ht="17">
      <c r="B42" s="123" t="s">
        <v>90</v>
      </c>
      <c r="C42" s="125">
        <v>1386.6535457774999</v>
      </c>
      <c r="D42" s="125">
        <v>1694.7987781725003</v>
      </c>
      <c r="E42" s="21"/>
      <c r="F42" s="260">
        <v>1386.6535457774999</v>
      </c>
      <c r="G42" s="125">
        <v>1694.7987781725003</v>
      </c>
    </row>
    <row r="43" spans="2:7" s="7" customFormat="1" ht="17">
      <c r="B43" s="22" t="s">
        <v>91</v>
      </c>
      <c r="C43" s="49">
        <v>1386.6535457774999</v>
      </c>
      <c r="D43" s="49">
        <v>1694.7987781725003</v>
      </c>
      <c r="E43" s="21"/>
      <c r="F43" s="259">
        <v>1386.6535457774999</v>
      </c>
      <c r="G43" s="49">
        <v>1694.7987781725003</v>
      </c>
    </row>
    <row r="44" spans="2:7" s="7" customFormat="1" ht="17">
      <c r="B44" s="123" t="s">
        <v>92</v>
      </c>
      <c r="C44" s="125">
        <v>2203.2384116242501</v>
      </c>
      <c r="D44" s="125">
        <v>2739.9246913788761</v>
      </c>
      <c r="E44" s="21"/>
      <c r="F44" s="260">
        <v>2203.2384116242501</v>
      </c>
      <c r="G44" s="125">
        <v>2739.9246913788761</v>
      </c>
    </row>
    <row r="45" spans="2:7" s="7" customFormat="1" ht="17">
      <c r="B45" s="22" t="s">
        <v>120</v>
      </c>
      <c r="C45" s="40">
        <v>1540.3311039847499</v>
      </c>
      <c r="D45" s="40">
        <v>1848.8713943700002</v>
      </c>
      <c r="E45" s="21"/>
      <c r="F45" s="261">
        <v>1540.3311039847499</v>
      </c>
      <c r="G45" s="40">
        <v>1848.8713943700002</v>
      </c>
    </row>
    <row r="46" spans="2:7" s="7" customFormat="1" ht="18" thickBot="1">
      <c r="B46" s="123" t="s">
        <v>93</v>
      </c>
      <c r="C46" s="125">
        <v>2203.2384116242501</v>
      </c>
      <c r="D46" s="125">
        <v>2739.9246913788761</v>
      </c>
      <c r="E46" s="21"/>
      <c r="F46" s="260">
        <v>2203.2384116242501</v>
      </c>
      <c r="G46" s="125">
        <v>2739.9246913788761</v>
      </c>
    </row>
    <row r="47" spans="2:7" s="7" customFormat="1" ht="18" thickBot="1">
      <c r="B47" s="117" t="s">
        <v>58</v>
      </c>
      <c r="C47" s="122" t="s">
        <v>10</v>
      </c>
      <c r="D47" s="122" t="s">
        <v>59</v>
      </c>
      <c r="E47" s="21"/>
      <c r="F47" s="122" t="s">
        <v>10</v>
      </c>
      <c r="G47" s="122" t="s">
        <v>59</v>
      </c>
    </row>
    <row r="48" spans="2:7" s="7" customFormat="1" ht="17">
      <c r="B48" s="22" t="s">
        <v>94</v>
      </c>
      <c r="C48" s="40">
        <v>1386.6535457774999</v>
      </c>
      <c r="D48" s="40">
        <v>1694.7987781725003</v>
      </c>
      <c r="E48" s="21"/>
      <c r="F48" s="261">
        <v>1386.6535457774999</v>
      </c>
      <c r="G48" s="40">
        <v>1694.7987781725003</v>
      </c>
    </row>
    <row r="49" spans="2:7" s="7" customFormat="1" ht="18" thickBot="1">
      <c r="B49" s="120" t="s">
        <v>95</v>
      </c>
      <c r="C49" s="126">
        <v>1078.5083133825001</v>
      </c>
      <c r="D49" s="126">
        <v>1386.6535457774999</v>
      </c>
      <c r="E49" s="21"/>
      <c r="F49" s="262">
        <v>1078.5083133825001</v>
      </c>
      <c r="G49" s="126">
        <v>1386.6535457774999</v>
      </c>
    </row>
    <row r="50" spans="2:7" s="7" customFormat="1" ht="18" thickBot="1">
      <c r="B50" s="23"/>
      <c r="C50" s="23"/>
      <c r="D50"/>
      <c r="E50" s="2"/>
    </row>
    <row r="51" spans="2:7" s="7" customFormat="1" ht="17">
      <c r="B51" s="250" t="s">
        <v>56</v>
      </c>
      <c r="C51" s="251"/>
      <c r="D51" s="252"/>
      <c r="E51" s="2"/>
    </row>
    <row r="52" spans="2:7" ht="95" customHeight="1">
      <c r="B52" s="161" t="s">
        <v>116</v>
      </c>
      <c r="C52" s="257"/>
      <c r="D52" s="163"/>
    </row>
    <row r="53" spans="2:7" ht="54" customHeight="1" thickBot="1">
      <c r="B53" s="164" t="s">
        <v>143</v>
      </c>
      <c r="C53" s="165"/>
      <c r="D53" s="166"/>
    </row>
    <row r="54" spans="2:7">
      <c r="D54" s="2"/>
    </row>
    <row r="55" spans="2:7">
      <c r="D55" s="2"/>
    </row>
  </sheetData>
  <mergeCells count="4">
    <mergeCell ref="B2:D2"/>
    <mergeCell ref="B51:D51"/>
    <mergeCell ref="B52:D52"/>
    <mergeCell ref="B53:D53"/>
  </mergeCells>
  <printOptions horizontalCentered="1"/>
  <pageMargins left="0.25" right="0.25" top="0.75" bottom="0.75" header="0.3" footer="0.3"/>
  <pageSetup fitToHeight="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CB8E-16EB-1040-BB8F-4FC8F1A3E94C}">
  <sheetPr codeName="Sheet11">
    <pageSetUpPr fitToPage="1"/>
  </sheetPr>
  <dimension ref="B1:K23"/>
  <sheetViews>
    <sheetView showGridLines="0" tabSelected="1" zoomScale="143" zoomScaleNormal="143" zoomScalePageLayoutView="80" workbookViewId="0">
      <selection activeCell="J16" sqref="J16"/>
    </sheetView>
  </sheetViews>
  <sheetFormatPr baseColWidth="10" defaultColWidth="10.83203125" defaultRowHeight="16"/>
  <cols>
    <col min="1" max="1" width="2.6640625" style="2" customWidth="1"/>
    <col min="2" max="2" width="27.83203125" style="4" bestFit="1" customWidth="1"/>
    <col min="3" max="3" width="13.33203125" style="4" customWidth="1"/>
    <col min="4" max="4" width="14.83203125" style="4" customWidth="1"/>
    <col min="5" max="5" width="10.83203125" style="2"/>
    <col min="6" max="6" width="9.6640625" style="2" bestFit="1" customWidth="1"/>
    <col min="7" max="7" width="11.6640625" style="2" bestFit="1" customWidth="1"/>
    <col min="8" max="8" width="14.5" style="2" bestFit="1" customWidth="1"/>
    <col min="9" max="16384" width="10.83203125" style="2"/>
  </cols>
  <sheetData>
    <row r="1" spans="2:11" ht="17" thickBot="1">
      <c r="B1" s="2"/>
      <c r="C1" s="2"/>
      <c r="D1" s="2"/>
    </row>
    <row r="2" spans="2:11" s="5" customFormat="1" ht="20" customHeight="1" thickBot="1">
      <c r="B2" s="156" t="s">
        <v>97</v>
      </c>
      <c r="C2" s="157"/>
      <c r="D2" s="158"/>
      <c r="G2" s="2"/>
      <c r="H2" s="2"/>
      <c r="I2" s="2"/>
      <c r="J2" s="2"/>
      <c r="K2" s="2"/>
    </row>
    <row r="3" spans="2:11" s="7" customFormat="1" ht="18" thickBot="1">
      <c r="B3" s="255" t="s">
        <v>58</v>
      </c>
      <c r="C3" s="122" t="s">
        <v>10</v>
      </c>
      <c r="D3" s="122" t="s">
        <v>59</v>
      </c>
      <c r="F3" s="5"/>
      <c r="G3" s="2"/>
      <c r="H3" s="2"/>
      <c r="I3" s="2"/>
      <c r="J3" s="2"/>
      <c r="K3" s="2"/>
    </row>
    <row r="4" spans="2:11" s="7" customFormat="1" ht="18" thickBot="1">
      <c r="B4" s="256"/>
      <c r="C4" s="25">
        <v>925.71906000000024</v>
      </c>
      <c r="D4" s="25">
        <f>H4*(1+F4)</f>
        <v>1337.5</v>
      </c>
      <c r="F4" s="26">
        <v>7.0000000000000007E-2</v>
      </c>
      <c r="G4" s="2"/>
      <c r="H4" s="28">
        <v>1250</v>
      </c>
      <c r="I4" s="2"/>
      <c r="J4" s="2"/>
      <c r="K4" s="2"/>
    </row>
    <row r="5" spans="2:11" s="7" customFormat="1" ht="36" customHeight="1" thickBot="1">
      <c r="B5" s="128" t="s">
        <v>14</v>
      </c>
      <c r="C5" s="264" t="s">
        <v>98</v>
      </c>
      <c r="D5" s="265"/>
      <c r="F5" s="5"/>
      <c r="G5" s="2"/>
      <c r="H5" s="129" t="s">
        <v>99</v>
      </c>
      <c r="I5" s="2"/>
      <c r="J5" s="2"/>
      <c r="K5" s="2"/>
    </row>
    <row r="6" spans="2:11" s="7" customFormat="1" ht="36" customHeight="1" thickBot="1">
      <c r="B6" s="30" t="s">
        <v>100</v>
      </c>
      <c r="C6" s="195" t="s">
        <v>101</v>
      </c>
      <c r="D6" s="197"/>
      <c r="F6" s="5"/>
      <c r="G6" s="2"/>
      <c r="H6" s="127" t="s">
        <v>102</v>
      </c>
      <c r="I6" s="2"/>
      <c r="J6" s="2"/>
      <c r="K6" s="2"/>
    </row>
    <row r="7" spans="2:11" s="7" customFormat="1" ht="36" customHeight="1" thickBot="1">
      <c r="B7" s="128" t="s">
        <v>36</v>
      </c>
      <c r="C7" s="264" t="s">
        <v>103</v>
      </c>
      <c r="D7" s="265"/>
      <c r="F7" s="5"/>
      <c r="G7" s="2"/>
      <c r="H7" s="129" t="s">
        <v>104</v>
      </c>
      <c r="I7" s="2"/>
      <c r="J7" s="2"/>
      <c r="K7" s="2"/>
    </row>
    <row r="8" spans="2:11" s="7" customFormat="1" ht="36" customHeight="1" thickBot="1">
      <c r="B8" s="30" t="s">
        <v>42</v>
      </c>
      <c r="C8" s="195" t="s">
        <v>105</v>
      </c>
      <c r="D8" s="197"/>
      <c r="F8" s="5"/>
      <c r="G8" s="2"/>
      <c r="H8" s="127" t="s">
        <v>106</v>
      </c>
      <c r="I8" s="2"/>
      <c r="J8" s="2"/>
      <c r="K8" s="2"/>
    </row>
    <row r="9" spans="2:11" s="7" customFormat="1" ht="36" customHeight="1" thickBot="1">
      <c r="B9" s="128" t="s">
        <v>107</v>
      </c>
      <c r="C9" s="264" t="s">
        <v>103</v>
      </c>
      <c r="D9" s="265"/>
      <c r="F9" s="5"/>
      <c r="G9" s="2"/>
      <c r="H9" s="129" t="s">
        <v>104</v>
      </c>
      <c r="I9" s="2"/>
      <c r="J9" s="2"/>
      <c r="K9" s="2"/>
    </row>
    <row r="10" spans="2:11" s="7" customFormat="1" ht="36" customHeight="1" thickBot="1">
      <c r="B10" s="30" t="s">
        <v>48</v>
      </c>
      <c r="C10" s="195" t="s">
        <v>108</v>
      </c>
      <c r="D10" s="197"/>
      <c r="G10" s="2"/>
      <c r="H10" s="127" t="s">
        <v>104</v>
      </c>
      <c r="I10" s="2"/>
      <c r="J10" s="2"/>
      <c r="K10" s="2"/>
    </row>
    <row r="11" spans="2:11" ht="36" customHeight="1" thickBot="1">
      <c r="B11" s="130" t="s">
        <v>109</v>
      </c>
      <c r="C11" s="264" t="s">
        <v>103</v>
      </c>
      <c r="D11" s="265"/>
      <c r="H11" s="129" t="s">
        <v>104</v>
      </c>
    </row>
    <row r="12" spans="2:11" ht="17" thickBot="1"/>
    <row r="13" spans="2:11" s="7" customFormat="1" ht="17">
      <c r="B13" s="253" t="s">
        <v>96</v>
      </c>
      <c r="C13" s="263"/>
      <c r="D13" s="254"/>
      <c r="G13" s="2"/>
      <c r="H13" s="2"/>
      <c r="I13" s="2"/>
      <c r="J13" s="2"/>
      <c r="K13" s="2"/>
    </row>
    <row r="14" spans="2:11" ht="255" customHeight="1" thickBot="1">
      <c r="B14" s="164" t="s">
        <v>133</v>
      </c>
      <c r="C14" s="165"/>
      <c r="D14" s="166"/>
    </row>
    <row r="15" spans="2:11">
      <c r="B15" s="2"/>
      <c r="C15" s="2"/>
      <c r="D15" s="2"/>
    </row>
    <row r="16" spans="2:11" ht="39" customHeight="1"/>
    <row r="19" spans="2:4">
      <c r="B19" s="2"/>
      <c r="C19" s="2"/>
      <c r="D19" s="2"/>
    </row>
    <row r="20" spans="2:4" ht="18" customHeight="1">
      <c r="B20" s="2"/>
      <c r="C20" s="2"/>
      <c r="D20" s="2"/>
    </row>
    <row r="21" spans="2:4" ht="18" customHeight="1">
      <c r="B21" s="2"/>
      <c r="C21" s="2"/>
      <c r="D21" s="2"/>
    </row>
    <row r="22" spans="2:4" ht="18" customHeight="1">
      <c r="B22" s="2"/>
      <c r="C22" s="2"/>
      <c r="D22" s="2"/>
    </row>
    <row r="23" spans="2:4" ht="15" customHeight="1"/>
  </sheetData>
  <mergeCells count="11">
    <mergeCell ref="B13:D13"/>
    <mergeCell ref="B14:D14"/>
    <mergeCell ref="B2:D2"/>
    <mergeCell ref="B3:B4"/>
    <mergeCell ref="C5:D5"/>
    <mergeCell ref="C6:D6"/>
    <mergeCell ref="C7:D7"/>
    <mergeCell ref="C8:D8"/>
    <mergeCell ref="C9:D9"/>
    <mergeCell ref="C10:D10"/>
    <mergeCell ref="C11:D11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ECONOMICO-OutsideSMA2025</vt:lpstr>
      <vt:lpstr>ECONOMICO-InsideSMA2025</vt:lpstr>
      <vt:lpstr>PREMIUM-OutsideSMA2025</vt:lpstr>
      <vt:lpstr>PREMIUM-InsideSMA2025</vt:lpstr>
      <vt:lpstr>PREMIUM-Tours2025</vt:lpstr>
      <vt:lpstr>GREEN-OutsideSMA2025</vt:lpstr>
      <vt:lpstr>GREEN-InsideSMA2025</vt:lpstr>
      <vt:lpstr>GREEN-Tours2025</vt:lpstr>
      <vt:lpstr>FIRST-OutsideSMA2025</vt:lpstr>
      <vt:lpstr>FIRST-InsideSMA2025</vt:lpstr>
      <vt:lpstr>FIRST-Tours2025</vt:lpstr>
      <vt:lpstr>'ECONOMICO-InsideSMA2025'!Print_Area</vt:lpstr>
      <vt:lpstr>'ECONOMICO-OutsideSMA2025'!Print_Area</vt:lpstr>
      <vt:lpstr>'FIRST-InsideSMA2025'!Print_Area</vt:lpstr>
      <vt:lpstr>'FIRST-OutsideSMA2025'!Print_Area</vt:lpstr>
      <vt:lpstr>'FIRST-Tours2025'!Print_Area</vt:lpstr>
      <vt:lpstr>'GREEN-InsideSMA2025'!Print_Area</vt:lpstr>
      <vt:lpstr>'GREEN-OutsideSMA2025'!Print_Area</vt:lpstr>
      <vt:lpstr>'GREEN-Tours2025'!Print_Area</vt:lpstr>
      <vt:lpstr>'PREMIUM-InsideSMA2025'!Print_Area</vt:lpstr>
      <vt:lpstr>'PREMIUM-OutsideSMA2025'!Print_Area</vt:lpstr>
      <vt:lpstr>'PREMIUM-Tours2025'!Print_Area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Fernanda Anguiano Juárez</dc:creator>
  <cp:lastModifiedBy>Michelle Anguiano</cp:lastModifiedBy>
  <cp:lastPrinted>2025-02-05T18:39:14Z</cp:lastPrinted>
  <dcterms:created xsi:type="dcterms:W3CDTF">2024-12-04T22:07:04Z</dcterms:created>
  <dcterms:modified xsi:type="dcterms:W3CDTF">2025-02-05T18:41:01Z</dcterms:modified>
</cp:coreProperties>
</file>